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e hebdo 5min" sheetId="1" state="visible" r:id="rId1"/>
    <sheet name="Dashboard" sheetId="2" state="visible" r:id="rId2"/>
    <sheet name="Analyse Grab" sheetId="3" state="visible" r:id="rId3"/>
    <sheet name="Simulateur scénarios" sheetId="4" state="visible" r:id="rId4"/>
    <sheet name="Historique commandes" sheetId="5" state="visible" r:id="rId5"/>
    <sheet name="Suivi promo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€"/>
    <numFmt numFmtId="165" formatCode="0.0%"/>
    <numFmt numFmtId="166" formatCode="#,##0.00 €;(#,##0.00 €);-"/>
    <numFmt numFmtId="167" formatCode="0.0"/>
  </numFmts>
  <fonts count="4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1A1A2E"/>
      <sz val="10"/>
    </font>
    <font>
      <name val="Arial"/>
      <b val="1"/>
      <color rgb="001A1A2E"/>
      <sz val="10"/>
    </font>
    <font>
      <name val="Arial"/>
      <b val="1"/>
      <color rgb="00FFFFFF"/>
      <sz val="16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color rgb="00444444"/>
      <sz val="10"/>
    </font>
    <font>
      <name val="Arial"/>
      <b val="1"/>
      <color rgb="001E2A38"/>
      <sz val="13"/>
    </font>
    <font>
      <name val="Arial"/>
      <b val="1"/>
      <sz val="10"/>
    </font>
    <font>
      <name val="Arial"/>
      <sz val="10"/>
    </font>
    <font>
      <name val="Arial"/>
      <b val="1"/>
      <color rgb="001E2A38"/>
      <sz val="10"/>
    </font>
    <font>
      <name val="Arial"/>
      <b val="1"/>
      <color rgb="000000FF"/>
      <sz val="13"/>
    </font>
    <font>
      <name val="Arial"/>
      <b val="1"/>
      <color rgb="0052B788"/>
      <sz val="13"/>
    </font>
    <font>
      <name val="Arial"/>
      <b val="1"/>
      <sz val="11"/>
    </font>
    <font>
      <name val="Arial"/>
      <b val="1"/>
      <color rgb="00FFFFFF"/>
      <sz val="15"/>
    </font>
    <font>
      <name val="Arial"/>
      <b val="1"/>
      <color rgb="001E2A38"/>
      <sz val="12"/>
    </font>
    <font>
      <name val="Arial"/>
      <b val="1"/>
      <color rgb="00FFFFFF"/>
      <sz val="9"/>
    </font>
    <font>
      <name val="Arial"/>
      <b val="1"/>
      <color rgb="00007A36"/>
      <sz val="10"/>
    </font>
    <font>
      <name val="Arial"/>
      <b val="1"/>
      <color rgb="001E2A38"/>
      <sz val="11"/>
    </font>
    <font>
      <name val="Arial"/>
      <b val="1"/>
      <color rgb="00007A36"/>
      <sz val="11"/>
    </font>
    <font>
      <name val="Arial"/>
      <b val="1"/>
      <color rgb="000000FF"/>
      <sz val="11"/>
    </font>
    <font>
      <name val="Arial"/>
      <b val="1"/>
      <color rgb="00E63946"/>
      <sz val="10"/>
    </font>
    <font>
      <name val="Arial"/>
      <b val="1"/>
      <color rgb="00856404"/>
      <sz val="10"/>
    </font>
    <font>
      <name val="Arial"/>
      <b val="1"/>
      <color rgb="000C5460"/>
      <sz val="10"/>
    </font>
    <font>
      <name val="Arial"/>
      <color rgb="00E63946"/>
      <sz val="10"/>
    </font>
    <font>
      <name val="Arial"/>
      <color rgb="00856404"/>
      <sz val="10"/>
    </font>
    <font>
      <name val="Arial"/>
      <color rgb="000C5460"/>
      <sz val="10"/>
    </font>
    <font>
      <name val="Arial"/>
      <color rgb="00007A36"/>
      <sz val="10"/>
    </font>
    <font>
      <name val="Arial"/>
      <b val="1"/>
      <color rgb="00E63946"/>
      <sz val="11"/>
    </font>
    <font>
      <name val="Arial"/>
      <b val="1"/>
      <color rgb="00856404"/>
      <sz val="11"/>
    </font>
    <font>
      <name val="Arial"/>
      <b val="1"/>
      <color rgb="000C5460"/>
      <sz val="11"/>
    </font>
    <font>
      <name val="Arial"/>
      <i val="1"/>
      <color rgb="00AAAAAA"/>
      <sz val="8"/>
    </font>
    <font>
      <name val="Arial"/>
      <b val="1"/>
      <color rgb="00FFB703"/>
      <sz val="10"/>
    </font>
    <font>
      <name val="Arial"/>
      <b val="1"/>
      <color rgb="00048A81"/>
      <sz val="10"/>
    </font>
    <font>
      <name val="Arial"/>
      <b val="1"/>
      <color rgb="00444444"/>
      <sz val="10"/>
    </font>
    <font>
      <name val="Arial"/>
      <b val="1"/>
      <color rgb="00007A36"/>
      <sz val="12"/>
    </font>
    <font>
      <name val="Arial"/>
      <b val="1"/>
      <color rgb="0000B14F"/>
      <sz val="12"/>
    </font>
    <font>
      <name val="Arial"/>
      <color rgb="0000B14F"/>
      <sz val="16"/>
    </font>
    <font>
      <name val="Arial"/>
      <color rgb="001E2A38"/>
      <sz val="10"/>
    </font>
    <font>
      <name val="Arial"/>
      <i val="1"/>
      <color rgb="008B6914"/>
      <sz val="9"/>
    </font>
    <font>
      <name val="Arial"/>
      <color rgb="00048A81"/>
      <sz val="16"/>
    </font>
    <font>
      <name val="Arial"/>
      <color rgb="006B4FBB"/>
      <sz val="16"/>
    </font>
    <font>
      <name val="Arial"/>
      <color rgb="002E4057"/>
      <sz val="16"/>
    </font>
    <font>
      <name val="Arial"/>
      <color rgb="00F4831F"/>
      <sz val="16"/>
    </font>
  </fonts>
  <fills count="17">
    <fill>
      <patternFill/>
    </fill>
    <fill>
      <patternFill patternType="gray125"/>
    </fill>
    <fill>
      <patternFill patternType="solid">
        <fgColor rgb="001E2A38"/>
      </patternFill>
    </fill>
    <fill>
      <patternFill patternType="solid">
        <fgColor rgb="002E4057"/>
      </patternFill>
    </fill>
    <fill>
      <patternFill patternType="solid">
        <fgColor rgb="00F0F4F8"/>
      </patternFill>
    </fill>
    <fill>
      <patternFill patternType="solid">
        <fgColor rgb="00048A81"/>
      </patternFill>
    </fill>
    <fill>
      <patternFill patternType="solid">
        <fgColor rgb="00FFFFFF"/>
      </patternFill>
    </fill>
    <fill>
      <patternFill patternType="solid">
        <fgColor rgb="00EAF4FB"/>
      </patternFill>
    </fill>
    <fill>
      <patternFill patternType="solid">
        <fgColor rgb="0000B14F"/>
      </patternFill>
    </fill>
    <fill>
      <patternFill patternType="solid">
        <fgColor rgb="00007A36"/>
      </patternFill>
    </fill>
    <fill>
      <patternFill patternType="solid">
        <fgColor rgb="006B4FBB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D4EDDA"/>
      </patternFill>
    </fill>
    <fill>
      <patternFill patternType="solid">
        <fgColor rgb="00F4831F"/>
      </patternFill>
    </fill>
    <fill>
      <patternFill patternType="solid">
        <fgColor rgb="00FFFBF0"/>
      </patternFill>
    </fill>
  </fills>
  <borders count="6">
    <border>
      <left/>
      <right/>
      <top/>
      <bottom/>
      <diagonal/>
    </border>
    <border>
      <left style="thin">
        <color rgb="00C9D6DF"/>
      </left>
      <right style="thin">
        <color rgb="00C9D6DF"/>
      </right>
      <top style="thin">
        <color rgb="00C9D6DF"/>
      </top>
      <bottom style="thin">
        <color rgb="00C9D6DF"/>
      </bottom>
    </border>
    <border>
      <left/>
      <right/>
      <top style="thin">
        <color rgb="00C9D6DF"/>
      </top>
      <bottom/>
      <diagonal/>
    </border>
    <border>
      <left/>
      <right style="thin">
        <color rgb="00C9D6DF"/>
      </right>
      <top style="thin">
        <color rgb="00C9D6DF"/>
      </top>
      <bottom/>
      <diagonal/>
    </border>
    <border>
      <left/>
      <right/>
      <top style="thin">
        <color rgb="00C9D6DF"/>
      </top>
      <bottom style="thin">
        <color rgb="00C9D6DF"/>
      </bottom>
      <diagonal/>
    </border>
    <border>
      <left/>
      <right style="thin">
        <color rgb="00C9D6DF"/>
      </right>
      <top style="thin">
        <color rgb="00C9D6DF"/>
      </top>
      <bottom style="thin">
        <color rgb="00C9D6DF"/>
      </bottom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9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164" fontId="9" fillId="6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1" fontId="9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1" fontId="11" fillId="4" borderId="1" applyAlignment="1" pivotButton="0" quotePrefix="0" xfId="0">
      <alignment horizontal="center" vertical="center" wrapText="1"/>
    </xf>
    <xf numFmtId="164" fontId="11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" fontId="11" fillId="6" borderId="1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/>
    </xf>
    <xf numFmtId="164" fontId="13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14" fillId="6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6" fontId="3" fillId="4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167" fontId="9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horizontal="center" vertical="center" wrapText="1"/>
    </xf>
    <xf numFmtId="164" fontId="13" fillId="7" borderId="1" applyAlignment="1" pivotButton="0" quotePrefix="0" xfId="0">
      <alignment horizontal="center" vertical="center" wrapText="1"/>
    </xf>
    <xf numFmtId="164" fontId="14" fillId="6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" fontId="15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 wrapText="1"/>
    </xf>
    <xf numFmtId="1" fontId="15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1" fontId="17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164" fontId="17" fillId="6" borderId="1" applyAlignment="1" pivotButton="0" quotePrefix="0" xfId="0">
      <alignment horizontal="center" vertical="center" wrapText="1"/>
    </xf>
    <xf numFmtId="164" fontId="17" fillId="4" borderId="1" applyAlignment="1" pivotButton="0" quotePrefix="0" xfId="0">
      <alignment horizontal="center" vertical="center" wrapText="1"/>
    </xf>
    <xf numFmtId="9" fontId="17" fillId="6" borderId="1" applyAlignment="1" pivotButton="0" quotePrefix="0" xfId="0">
      <alignment horizontal="center" vertical="center" wrapText="1"/>
    </xf>
    <xf numFmtId="167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9" fontId="11" fillId="4" borderId="1" applyAlignment="1" pivotButton="0" quotePrefix="0" xfId="0">
      <alignment horizontal="center" vertical="center" wrapText="1"/>
    </xf>
    <xf numFmtId="167" fontId="10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9" fontId="11" fillId="6" borderId="1" applyAlignment="1" pivotButton="0" quotePrefix="0" xfId="0">
      <alignment horizontal="center" vertical="center" wrapText="1"/>
    </xf>
    <xf numFmtId="167" fontId="10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167" fontId="11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167" fontId="11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/>
    </xf>
    <xf numFmtId="0" fontId="39" fillId="4" borderId="1" applyAlignment="1" pivotButton="0" quotePrefix="0" xfId="0">
      <alignment horizontal="center" vertical="center" wrapText="1"/>
    </xf>
    <xf numFmtId="0" fontId="40" fillId="4" borderId="1" applyAlignment="1" pivotButton="0" quotePrefix="0" xfId="0">
      <alignment horizontal="left" vertical="center" wrapText="1"/>
    </xf>
    <xf numFmtId="0" fontId="0" fillId="16" borderId="1" pivotButton="0" quotePrefix="0" xfId="0"/>
    <xf numFmtId="0" fontId="41" fillId="1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42" fillId="4" borderId="1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left" vertical="center" wrapText="1"/>
    </xf>
    <xf numFmtId="0" fontId="43" fillId="4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 wrapText="1"/>
    </xf>
    <xf numFmtId="0" fontId="44" fillId="4" borderId="1" applyAlignment="1" pivotButton="0" quotePrefix="0" xfId="0">
      <alignment horizontal="center" vertical="center" wrapText="1"/>
    </xf>
    <xf numFmtId="0" fontId="7" fillId="15" borderId="0" applyAlignment="1" pivotButton="0" quotePrefix="0" xfId="0">
      <alignment horizontal="left" vertical="center" wrapText="1"/>
    </xf>
    <xf numFmtId="0" fontId="45" fillId="4" borderId="1" applyAlignment="1" pivotButton="0" quotePrefix="0" xfId="0">
      <alignment horizontal="center" vertical="center" wrapText="1"/>
    </xf>
    <xf numFmtId="1" fontId="20" fillId="4" borderId="1" applyAlignment="1" pivotButton="0" quotePrefix="0" xfId="0">
      <alignment horizontal="center" vertical="center" wrapText="1"/>
    </xf>
    <xf numFmtId="164" fontId="20" fillId="6" borderId="1" applyAlignment="1" pivotButton="0" quotePrefix="0" xfId="0">
      <alignment horizontal="center" vertical="center" wrapText="1"/>
    </xf>
    <xf numFmtId="164" fontId="20" fillId="4" borderId="1" applyAlignment="1" pivotButton="0" quotePrefix="0" xfId="0">
      <alignment horizontal="center" vertical="center" wrapText="1"/>
    </xf>
    <xf numFmtId="167" fontId="20" fillId="6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164" fontId="22" fillId="7" borderId="1" applyAlignment="1" pivotButton="0" quotePrefix="0" xfId="0">
      <alignment horizontal="center" vertical="center" wrapText="1"/>
    </xf>
    <xf numFmtId="1" fontId="22" fillId="7" borderId="1" applyAlignment="1" pivotButton="0" quotePrefix="0" xfId="0">
      <alignment horizontal="center" vertical="center" wrapText="1"/>
    </xf>
    <xf numFmtId="9" fontId="22" fillId="7" borderId="1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center" vertical="center" wrapText="1"/>
    </xf>
    <xf numFmtId="0" fontId="24" fillId="12" borderId="1" applyAlignment="1" pivotButton="0" quotePrefix="0" xfId="0">
      <alignment horizontal="center" vertical="center" wrapText="1"/>
    </xf>
    <xf numFmtId="0" fontId="25" fillId="13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1" fontId="12" fillId="4" borderId="1" applyAlignment="1" pivotButton="0" quotePrefix="0" xfId="0">
      <alignment horizontal="center" vertical="center" wrapText="1"/>
    </xf>
    <xf numFmtId="1" fontId="26" fillId="11" borderId="1" applyAlignment="1" pivotButton="0" quotePrefix="0" xfId="0">
      <alignment horizontal="center" vertical="center" wrapText="1"/>
    </xf>
    <xf numFmtId="1" fontId="27" fillId="12" borderId="1" applyAlignment="1" pivotButton="0" quotePrefix="0" xfId="0">
      <alignment horizontal="center" vertical="center" wrapText="1"/>
    </xf>
    <xf numFmtId="1" fontId="28" fillId="13" borderId="1" applyAlignment="1" pivotButton="0" quotePrefix="0" xfId="0">
      <alignment horizontal="center" vertical="center" wrapText="1"/>
    </xf>
    <xf numFmtId="1" fontId="29" fillId="14" borderId="1" applyAlignment="1" pivotButton="0" quotePrefix="0" xfId="0">
      <alignment horizontal="center" vertical="center" wrapText="1"/>
    </xf>
    <xf numFmtId="164" fontId="12" fillId="6" borderId="1" applyAlignment="1" pivotButton="0" quotePrefix="0" xfId="0">
      <alignment horizontal="center" vertical="center" wrapText="1"/>
    </xf>
    <xf numFmtId="164" fontId="26" fillId="11" borderId="1" applyAlignment="1" pivotButton="0" quotePrefix="0" xfId="0">
      <alignment horizontal="center" vertical="center" wrapText="1"/>
    </xf>
    <xf numFmtId="164" fontId="27" fillId="12" borderId="1" applyAlignment="1" pivotButton="0" quotePrefix="0" xfId="0">
      <alignment horizontal="center" vertical="center" wrapText="1"/>
    </xf>
    <xf numFmtId="164" fontId="28" fillId="13" borderId="1" applyAlignment="1" pivotButton="0" quotePrefix="0" xfId="0">
      <alignment horizontal="center" vertical="center" wrapText="1"/>
    </xf>
    <xf numFmtId="164" fontId="29" fillId="14" borderId="1" applyAlignment="1" pivotButton="0" quotePrefix="0" xfId="0">
      <alignment horizontal="center" vertical="center" wrapText="1"/>
    </xf>
    <xf numFmtId="164" fontId="12" fillId="4" borderId="1" applyAlignment="1" pivotButton="0" quotePrefix="0" xfId="0">
      <alignment horizontal="center" vertical="center" wrapText="1"/>
    </xf>
    <xf numFmtId="164" fontId="30" fillId="11" borderId="1" applyAlignment="1" pivotButton="0" quotePrefix="0" xfId="0">
      <alignment horizontal="center" vertical="center" wrapText="1"/>
    </xf>
    <xf numFmtId="164" fontId="31" fillId="12" borderId="1" applyAlignment="1" pivotButton="0" quotePrefix="0" xfId="0">
      <alignment horizontal="center" vertical="center" wrapText="1"/>
    </xf>
    <xf numFmtId="164" fontId="32" fillId="13" borderId="1" applyAlignment="1" pivotButton="0" quotePrefix="0" xfId="0">
      <alignment horizontal="center" vertical="center" wrapText="1"/>
    </xf>
    <xf numFmtId="164" fontId="21" fillId="14" borderId="1" applyAlignment="1" pivotButton="0" quotePrefix="0" xfId="0">
      <alignment horizontal="center" vertical="center" wrapText="1"/>
    </xf>
    <xf numFmtId="164" fontId="24" fillId="12" borderId="1" applyAlignment="1" pivotButton="0" quotePrefix="0" xfId="0">
      <alignment horizontal="center" vertical="center" wrapText="1"/>
    </xf>
    <xf numFmtId="164" fontId="25" fillId="13" borderId="1" applyAlignment="1" pivotButton="0" quotePrefix="0" xfId="0">
      <alignment horizontal="center" vertical="center" wrapText="1"/>
    </xf>
    <xf numFmtId="164" fontId="19" fillId="14" borderId="1" applyAlignment="1" pivotButton="0" quotePrefix="0" xfId="0">
      <alignment horizontal="center" vertical="center" wrapText="1"/>
    </xf>
    <xf numFmtId="165" fontId="12" fillId="4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center" vertical="center" wrapText="1"/>
    </xf>
    <xf numFmtId="165" fontId="27" fillId="12" borderId="1" applyAlignment="1" pivotButton="0" quotePrefix="0" xfId="0">
      <alignment horizontal="center" vertical="center" wrapText="1"/>
    </xf>
    <xf numFmtId="165" fontId="28" fillId="13" borderId="1" applyAlignment="1" pivotButton="0" quotePrefix="0" xfId="0">
      <alignment horizontal="center" vertical="center" wrapText="1"/>
    </xf>
    <xf numFmtId="165" fontId="29" fillId="14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left" vertical="center" wrapText="1"/>
    </xf>
    <xf numFmtId="164" fontId="23" fillId="4" borderId="1" applyAlignment="1" pivotButton="0" quotePrefix="0" xfId="0">
      <alignment horizontal="center" vertical="center" wrapText="1"/>
    </xf>
    <xf numFmtId="164" fontId="34" fillId="6" borderId="1" applyAlignment="1" pivotButton="0" quotePrefix="0" xfId="0">
      <alignment horizontal="center" vertical="center" wrapText="1"/>
    </xf>
    <xf numFmtId="164" fontId="35" fillId="4" borderId="1" applyAlignment="1" pivotButton="0" quotePrefix="0" xfId="0">
      <alignment horizontal="center" vertical="center" wrapText="1"/>
    </xf>
    <xf numFmtId="0" fontId="36" fillId="6" borderId="1" applyAlignment="1" pivotButton="0" quotePrefix="0" xfId="0">
      <alignment horizontal="left" vertical="center" wrapText="1"/>
    </xf>
    <xf numFmtId="164" fontId="37" fillId="6" borderId="1" applyAlignment="1" pivotButton="0" quotePrefix="0" xfId="0">
      <alignment horizontal="center" vertical="center" wrapText="1"/>
    </xf>
    <xf numFmtId="0" fontId="36" fillId="4" borderId="1" applyAlignment="1" pivotButton="0" quotePrefix="0" xfId="0">
      <alignment horizontal="left" vertical="center" wrapText="1"/>
    </xf>
    <xf numFmtId="164" fontId="38" fillId="4" borderId="1" applyAlignment="1" pivotButton="0" quotePrefix="0" xfId="0">
      <alignment horizontal="center" vertical="center" wrapText="1"/>
    </xf>
    <xf numFmtId="165" fontId="3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00E63946"/>
        <sz val="13"/>
      </font>
      <fill>
        <patternFill patternType="solid">
          <fgColor rgb="00F8D7DA"/>
        </patternFill>
      </fill>
    </dxf>
    <dxf>
      <font>
        <name val="Arial"/>
        <b val="1"/>
        <color rgb="0052B788"/>
        <sz val="13"/>
      </font>
      <fill>
        <patternFill patternType="solid">
          <fgColor rgb="00D4EDDA"/>
        </patternFill>
      </fill>
    </dxf>
    <dxf>
      <font>
        <name val="Arial"/>
        <b val="1"/>
        <color rgb="00155724"/>
        <sz val="10"/>
      </font>
      <fill>
        <patternFill patternType="solid">
          <fgColor rgb="00D4EDDA"/>
        </patternFill>
      </fill>
    </dxf>
    <dxf>
      <font>
        <name val="Arial"/>
        <color rgb="000C5460"/>
        <sz val="10"/>
      </font>
      <fill>
        <patternFill patternType="solid">
          <fgColor rgb="00EAF4FB"/>
        </patternFill>
      </fill>
    </dxf>
    <dxf>
      <font>
        <name val="Arial"/>
        <b val="1"/>
        <color rgb="00856404"/>
        <sz val="10"/>
      </font>
      <fill>
        <patternFill patternType="solid">
          <fgColor rgb="00FFF3CD"/>
        </patternFill>
      </fill>
    </dxf>
    <dxf>
      <font>
        <name val="Arial"/>
        <b val="1"/>
        <color rgb="00E63946"/>
        <sz val="10"/>
      </font>
      <fill>
        <patternFill patternType="solid">
          <fgColor rgb="00F8D7DA"/>
        </patternFill>
      </fill>
    </dxf>
    <dxf>
      <font>
        <name val="Arial"/>
        <b val="1"/>
        <color rgb="00155724"/>
        <sz val="13"/>
      </font>
      <fill>
        <patternFill patternType="solid">
          <fgColor rgb="00D4EDDA"/>
        </patternFill>
      </fill>
    </dxf>
    <dxf>
      <font>
        <name val="Arial"/>
        <b val="1"/>
        <color rgb="00856404"/>
        <sz val="13"/>
      </font>
      <fill>
        <patternFill patternType="solid">
          <fgColor rgb="00FFF3CD"/>
        </patternFill>
      </fill>
    </dxf>
    <dxf>
      <font>
        <name val="Arial"/>
        <b val="1"/>
        <color rgb="00721C24"/>
        <sz val="13"/>
      </font>
      <fill>
        <patternFill patternType="solid">
          <fgColor rgb="00F8D7DA"/>
        </patternFill>
      </fill>
    </dxf>
    <dxf>
      <font>
        <name val="Arial"/>
        <b val="1"/>
        <color rgb="00007A36"/>
        <sz val="11"/>
      </font>
      <fill>
        <patternFill patternType="solid">
          <fgColor rgb="00C3E6C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4831F"/>
    <outlinePr summaryBelow="1" summaryRight="1"/>
    <pageSetUpPr/>
  </sheetPr>
  <dimension ref="B1:F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38" customWidth="1" min="3" max="3"/>
    <col width="14" customWidth="1" min="4" max="4"/>
    <col width="14" customWidth="1" min="5" max="5"/>
    <col width="12" customWidth="1" min="6" max="6"/>
    <col width="2" customWidth="1" min="7" max="7"/>
  </cols>
  <sheetData>
    <row r="1" ht="38" customHeight="1">
      <c r="B1" s="77" t="inlineStr">
        <is>
          <t>⚡ ROUTINE HEBDOMADAIRE — 5 MINUTES CHRONO</t>
        </is>
      </c>
    </row>
    <row r="2" ht="18" customHeight="1">
      <c r="B2" s="2" t="inlineStr">
        <is>
          <t>À faire chaque lundi matin · Cochez les cases au fur et à mesure</t>
        </is>
      </c>
    </row>
    <row r="4" ht="8" customHeight="1"/>
    <row r="5" ht="30" customHeight="1">
      <c r="B5" s="78" t="inlineStr">
        <is>
          <t xml:space="preserve">  ÉTAPE 1  ·  1 min  ·  📥  SAISIR les commandes de la semaine</t>
        </is>
      </c>
    </row>
    <row r="6" ht="56" customHeight="1">
      <c r="B6" s="79" t="inlineStr">
        <is>
          <t>☐</t>
        </is>
      </c>
      <c r="C6" s="80" t="inlineStr">
        <is>
          <t>Dans 'Historique commandes' : ajouter Date, Jour, Restaurant, Montant brut, Réduction, Frais livraison, Heure, Code promo utilisé.</t>
        </is>
      </c>
      <c r="D6" s="5" t="n"/>
      <c r="E6" s="5" t="n"/>
      <c r="F6" s="6" t="n"/>
    </row>
    <row r="7" ht="24" customHeight="1">
      <c r="B7" s="81" t="n"/>
      <c r="C7" s="82" t="inlineStr">
        <is>
          <t>💡 Le Score et le Verdict se calculent automatiquement</t>
        </is>
      </c>
      <c r="D7" s="5" t="n"/>
      <c r="E7" s="5" t="n"/>
      <c r="F7" s="6" t="n"/>
    </row>
    <row r="8" ht="8" customHeight="1"/>
    <row r="9" ht="30" customHeight="1">
      <c r="B9" s="83" t="inlineStr">
        <is>
          <t xml:space="preserve">  ÉTAPE 2  ·  1 min  ·  🎁  VÉRIFIER les promos qui expirent</t>
        </is>
      </c>
    </row>
    <row r="10" ht="56" customHeight="1">
      <c r="B10" s="84" t="inlineStr">
        <is>
          <t>☐</t>
        </is>
      </c>
      <c r="C10" s="80" t="inlineStr">
        <is>
          <t>Dans 'Suivi promotions' : regarder colonne 'Expire le' surlignée en jaune (≤3 jours). Planifier une commande avant expiration si la promo vaut le coup.</t>
        </is>
      </c>
      <c r="D10" s="5" t="n"/>
      <c r="E10" s="5" t="n"/>
      <c r="F10" s="6" t="n"/>
    </row>
    <row r="11" ht="24" customHeight="1">
      <c r="B11" s="81" t="n"/>
      <c r="C11" s="82" t="inlineStr">
        <is>
          <t>💡 Les promos expirées s'affichent en rouge automatiquement</t>
        </is>
      </c>
      <c r="D11" s="5" t="n"/>
      <c r="E11" s="5" t="n"/>
      <c r="F11" s="6" t="n"/>
    </row>
    <row r="12" ht="8" customHeight="1"/>
    <row r="13" ht="30" customHeight="1">
      <c r="B13" s="85" t="inlineStr">
        <is>
          <t xml:space="preserve">  ÉTAPE 3  ·  1 min  ·  ➕  SAISIR les nouvelles promos reçues</t>
        </is>
      </c>
    </row>
    <row r="14" ht="56" customHeight="1">
      <c r="B14" s="86" t="inlineStr">
        <is>
          <t>☐</t>
        </is>
      </c>
      <c r="C14" s="80" t="inlineStr">
        <is>
          <t>Notifs push Grab cette semaine → les ajouter dans 'Suivi promotions' avec code, valeur, condition, date d'expiration. Changer 'Utilisé ?' en Oui quand utilisée.</t>
        </is>
      </c>
      <c r="D14" s="5" t="n"/>
      <c r="E14" s="5" t="n"/>
      <c r="F14" s="6" t="n"/>
    </row>
    <row r="15" ht="24" customHeight="1">
      <c r="B15" s="81" t="n"/>
      <c r="C15" s="82" t="inlineStr">
        <is>
          <t>💡 Sources à vérifier : notifs app, email, widget app</t>
        </is>
      </c>
      <c r="D15" s="5" t="n"/>
      <c r="E15" s="5" t="n"/>
      <c r="F15" s="6" t="n"/>
    </row>
    <row r="16" ht="8" customHeight="1"/>
    <row r="17" ht="30" customHeight="1">
      <c r="B17" s="87" t="inlineStr">
        <is>
          <t xml:space="preserve">  ÉTAPE 4  ·  1 min  ·  📊  LIRE le Dashboard</t>
        </is>
      </c>
    </row>
    <row r="18" ht="56" customHeight="1">
      <c r="B18" s="88" t="inlineStr">
        <is>
          <t>☐</t>
        </is>
      </c>
      <c r="C18" s="80" t="inlineStr">
        <is>
          <t>Vérifier : Score moyen (vert ≥8 / jaune 5-7 / rouge &lt;5), Budget restant du mois, Nb promos disponibles non utilisées, Recommandation abonnement.</t>
        </is>
      </c>
      <c r="D18" s="5" t="n"/>
      <c r="E18" s="5" t="n"/>
      <c r="F18" s="6" t="n"/>
    </row>
    <row r="19" ht="24" customHeight="1">
      <c r="B19" s="81" t="n"/>
      <c r="C19" s="82" t="inlineStr">
        <is>
          <t>💡 Si score moyen &lt; 5 → consulter 'Simulateur scénarios' pour ajuster</t>
        </is>
      </c>
      <c r="D19" s="5" t="n"/>
      <c r="E19" s="5" t="n"/>
      <c r="F19" s="6" t="n"/>
    </row>
    <row r="20" ht="8" customHeight="1"/>
    <row r="21" ht="30" customHeight="1">
      <c r="B21" s="89" t="inlineStr">
        <is>
          <t xml:space="preserve">  ÉTAPE 5  ·  1 min  ·  🎯  PLANIFIER la semaine suivante</t>
        </is>
      </c>
    </row>
    <row r="22" ht="56" customHeight="1">
      <c r="B22" s="90" t="inlineStr">
        <is>
          <t>☐</t>
        </is>
      </c>
      <c r="C22" s="80" t="inlineStr">
        <is>
          <t>Regarder 'Analyse Grab' → section 'Dois-je commander maintenant ?' pour les meilleurs créneaux. Identifier 1-2 jours optimaux basés sur tes patterns. Prévoir d'utiliser tes promos avant expiration.</t>
        </is>
      </c>
      <c r="D22" s="5" t="n"/>
      <c r="E22" s="5" t="n"/>
      <c r="F22" s="6" t="n"/>
    </row>
    <row r="23" ht="24" customHeight="1">
      <c r="B23" s="81" t="n"/>
      <c r="C23" s="82" t="inlineStr">
        <is>
          <t>💡 Meilleurs créneaux Grab : 14h-17h (Happy Hour) et hors 12h-13h / 19h-20h</t>
        </is>
      </c>
      <c r="D23" s="5" t="n"/>
      <c r="E23" s="5" t="n"/>
      <c r="F23" s="6" t="n"/>
    </row>
    <row r="24" ht="14" customHeight="1"/>
    <row r="25" ht="28" customHeight="1">
      <c r="B25" s="87" t="inlineStr">
        <is>
          <t xml:space="preserve">  RÉCAPITULATIF AUTOMATIQUE DE LA SEMAINE</t>
        </is>
      </c>
    </row>
    <row r="26" ht="30" customHeight="1">
      <c r="B26" s="52" t="inlineStr">
        <is>
          <t>Commandes cette semaine</t>
        </is>
      </c>
      <c r="C26" s="5" t="n"/>
      <c r="D26" s="6" t="n"/>
      <c r="E26" s="91">
        <f>COUNTIFS('Historique commandes'!A3:A52,"&gt;="&amp;TODAY()-7,'Historique commandes'!C3:C52,"Grab")</f>
        <v/>
      </c>
      <c r="F26" s="6" t="n"/>
    </row>
    <row r="27" ht="30" customHeight="1">
      <c r="B27" s="54" t="inlineStr">
        <is>
          <t>Dépensé cette semaine (Grab)</t>
        </is>
      </c>
      <c r="C27" s="5" t="n"/>
      <c r="D27" s="6" t="n"/>
      <c r="E27" s="92">
        <f>SUMPRODUCT(('Historique commandes'!A3:A52&gt;=TODAY()-7)*('Historique commandes'!C3:C52="Grab")*IFERROR('Historique commandes'!H3:H52,0))</f>
        <v/>
      </c>
      <c r="F27" s="6" t="n"/>
    </row>
    <row r="28" ht="30" customHeight="1">
      <c r="B28" s="52" t="inlineStr">
        <is>
          <t>Économisé cette semaine (Grab)</t>
        </is>
      </c>
      <c r="C28" s="5" t="n"/>
      <c r="D28" s="6" t="n"/>
      <c r="E28" s="93">
        <f>ABS(SUMPRODUCT(('Historique commandes'!A3:A52&gt;=TODAY()-7)*('Historique commandes'!C3:C52="Grab")*IFERROR('Historique commandes'!F3:F52,0)))</f>
        <v/>
      </c>
      <c r="F28" s="6" t="n"/>
    </row>
    <row r="29" ht="30" customHeight="1">
      <c r="B29" s="54" t="inlineStr">
        <is>
          <t>Score moyen cette semaine</t>
        </is>
      </c>
      <c r="C29" s="5" t="n"/>
      <c r="D29" s="6" t="n"/>
      <c r="E29" s="94">
        <f>IFERROR(AVERAGEIFS('Historique commandes'!K3:K52,'Historique commandes'!A3:A52,"&gt;="&amp;TODAY()-7,'Historique commandes'!C3:C52,"Grab"),0)</f>
        <v/>
      </c>
      <c r="F29" s="6" t="n"/>
    </row>
    <row r="30" ht="30" customHeight="1">
      <c r="B30" s="52" t="inlineStr">
        <is>
          <t>Promos Grab non utilisées</t>
        </is>
      </c>
      <c r="C30" s="5" t="n"/>
      <c r="D30" s="6" t="n"/>
      <c r="E30" s="91">
        <f>COUNTIFS('Suivi promotions'!A3:A40,"Grab",'Suivi promotions'!G3:G40,"Non",'Suivi promotions'!F3:F40,"&gt;="&amp;TODAY())</f>
        <v/>
      </c>
      <c r="F30" s="6" t="n"/>
    </row>
    <row r="31" ht="30" customHeight="1">
      <c r="B31" s="54" t="inlineStr">
        <is>
          <t>Budget restant ce mois</t>
        </is>
      </c>
      <c r="C31" s="5" t="n"/>
      <c r="D31" s="6" t="n"/>
      <c r="E31" s="92">
        <f>Dashboard!D30</f>
        <v/>
      </c>
      <c r="F31" s="6" t="n"/>
    </row>
  </sheetData>
  <mergeCells count="30">
    <mergeCell ref="C23:F23"/>
    <mergeCell ref="B25:F25"/>
    <mergeCell ref="C7:F7"/>
    <mergeCell ref="B29:D29"/>
    <mergeCell ref="C19:F19"/>
    <mergeCell ref="B21:F21"/>
    <mergeCell ref="B28:D28"/>
    <mergeCell ref="C18:F18"/>
    <mergeCell ref="B2:F2"/>
    <mergeCell ref="E29:F29"/>
    <mergeCell ref="C6:F6"/>
    <mergeCell ref="E28:F28"/>
    <mergeCell ref="C15:F15"/>
    <mergeCell ref="B30:D30"/>
    <mergeCell ref="B1:F1"/>
    <mergeCell ref="B17:F17"/>
    <mergeCell ref="E31:F31"/>
    <mergeCell ref="C14:F14"/>
    <mergeCell ref="B13:F13"/>
    <mergeCell ref="E30:F30"/>
    <mergeCell ref="B26:D26"/>
    <mergeCell ref="E27:F27"/>
    <mergeCell ref="C10:F10"/>
    <mergeCell ref="E26:F26"/>
    <mergeCell ref="B9:F9"/>
    <mergeCell ref="C22:F22"/>
    <mergeCell ref="B31:D31"/>
    <mergeCell ref="B5:F5"/>
    <mergeCell ref="B27:D27"/>
    <mergeCell ref="C11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C6EB"/>
    <outlinePr summaryBelow="1" summaryRight="1"/>
    <pageSetUpPr/>
  </sheetPr>
  <dimension ref="B1:F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38" customHeight="1">
      <c r="B1" s="1" t="inlineStr">
        <is>
          <t>📊 DASHBOARD — OPTIMISATION LIVRAISON</t>
        </is>
      </c>
    </row>
    <row r="2" ht="18" customHeight="1">
      <c r="B2" s="2" t="inlineStr">
        <is>
          <t>Mis à jour automatiquement — Données de Historique commandes</t>
        </is>
      </c>
    </row>
    <row r="4" ht="26" customHeight="1">
      <c r="B4" s="3" t="inlineStr">
        <is>
          <t>KPIs GLOBAUX</t>
        </is>
      </c>
    </row>
    <row r="5" ht="36" customHeight="1">
      <c r="B5" s="4" t="inlineStr">
        <is>
          <t>Total dépensé (€)</t>
        </is>
      </c>
      <c r="C5" s="5" t="n"/>
      <c r="D5" s="6" t="n"/>
      <c r="E5" s="35">
        <f>'Historique commandes'!H54</f>
        <v/>
      </c>
      <c r="F5" s="6" t="n"/>
    </row>
    <row r="6" ht="36" customHeight="1">
      <c r="B6" s="8" t="inlineStr">
        <is>
          <t>Total économisé (€)</t>
        </is>
      </c>
      <c r="C6" s="5" t="n"/>
      <c r="D6" s="6" t="n"/>
      <c r="E6" s="36">
        <f>ABS('Historique commandes'!F54)+ABS('Historique commandes'!G54)-SUMPRODUCT(('Historique commandes'!G3:G52&gt;0)*('Historique commandes'!G3:G52))</f>
        <v/>
      </c>
      <c r="F6" s="6" t="n"/>
    </row>
    <row r="7" ht="36" customHeight="1">
      <c r="B7" s="4" t="inlineStr">
        <is>
          <t>Taux de réduction moyen</t>
        </is>
      </c>
      <c r="C7" s="5" t="n"/>
      <c r="D7" s="6" t="n"/>
      <c r="E7" s="37">
        <f>IFERROR(ABS('Historique commandes'!F54)/'Historique commandes'!E54,0)</f>
        <v/>
      </c>
      <c r="F7" s="6" t="n"/>
    </row>
    <row r="8" ht="36" customHeight="1">
      <c r="B8" s="8" t="inlineStr">
        <is>
          <t>Nb de commandes</t>
        </is>
      </c>
      <c r="C8" s="5" t="n"/>
      <c r="D8" s="6" t="n"/>
      <c r="E8" s="11">
        <f>COUNTA('Historique commandes'!A3:A52)</f>
        <v/>
      </c>
      <c r="F8" s="6" t="n"/>
    </row>
    <row r="9" ht="36" customHeight="1">
      <c r="B9" s="4" t="inlineStr">
        <is>
          <t>Panier moyen (€)</t>
        </is>
      </c>
      <c r="C9" s="5" t="n"/>
      <c r="D9" s="6" t="n"/>
      <c r="E9" s="35">
        <f>IFERROR('Historique commandes'!E54/C8,0)</f>
        <v/>
      </c>
      <c r="F9" s="6" t="n"/>
    </row>
    <row r="10" ht="36" customHeight="1">
      <c r="B10" s="8" t="inlineStr">
        <is>
          <t>Frais livraison payés (€)</t>
        </is>
      </c>
      <c r="C10" s="5" t="n"/>
      <c r="D10" s="6" t="n"/>
      <c r="E10" s="36">
        <f>'Historique commandes'!G54</f>
        <v/>
      </c>
      <c r="F10" s="6" t="n"/>
    </row>
    <row r="11" ht="36" customHeight="1">
      <c r="B11" s="4" t="inlineStr">
        <is>
          <t>Score moyen d'optimisation /10</t>
        </is>
      </c>
      <c r="C11" s="5" t="n"/>
      <c r="D11" s="6" t="n"/>
      <c r="E11" s="38">
        <f>IFERROR(AVERAGEIF('Historique commandes'!K3:K52,"&gt;0",'Historique commandes'!K3:K52),0)</f>
        <v/>
      </c>
      <c r="F11" s="6" t="n"/>
    </row>
    <row r="12" ht="14" customHeight="1"/>
    <row r="13" ht="26" customHeight="1">
      <c r="B13" s="3" t="inlineStr">
        <is>
          <t>ANALYSE PAR PLATEFORME</t>
        </is>
      </c>
    </row>
    <row r="14" ht="28" customHeight="1">
      <c r="B14" s="12" t="inlineStr">
        <is>
          <t>Plateforme</t>
        </is>
      </c>
      <c r="C14" s="12" t="inlineStr">
        <is>
          <t>Nb commandes</t>
        </is>
      </c>
      <c r="D14" s="12" t="inlineStr">
        <is>
          <t>Total dépensé (€)</t>
        </is>
      </c>
      <c r="E14" s="12" t="inlineStr">
        <is>
          <t>Économies (€)</t>
        </is>
      </c>
      <c r="F14" s="12" t="inlineStr">
        <is>
          <t>Livraison payée (€)</t>
        </is>
      </c>
    </row>
    <row r="15" ht="30" customHeight="1">
      <c r="B15" s="13" t="inlineStr">
        <is>
          <t>Grab</t>
        </is>
      </c>
      <c r="C15" s="14">
        <f>COUNTIF('Historique commandes'!C3:C52,"Grab")</f>
        <v/>
      </c>
      <c r="D15" s="39">
        <f>SUMIF('Historique commandes'!C3:C52,"Grab",'Historique commandes'!H3:H52)</f>
        <v/>
      </c>
      <c r="E15" s="39">
        <f>ABS(SUMIF('Historique commandes'!C3:C52,"Grab",'Historique commandes'!F3:F52))</f>
        <v/>
      </c>
      <c r="F15" s="39">
        <f>SUMIF('Historique commandes'!C3:C52,"Grab",'Historique commandes'!G3:G52)</f>
        <v/>
      </c>
    </row>
    <row r="16" ht="30" customHeight="1">
      <c r="B16" s="16" t="inlineStr">
        <is>
          <t>Wolt</t>
        </is>
      </c>
      <c r="C16" s="17">
        <f>COUNTIF('Historique commandes'!C3:C52,"Wolt")</f>
        <v/>
      </c>
      <c r="D16" s="40">
        <f>SUMIF('Historique commandes'!C3:C52,"Wolt",'Historique commandes'!H3:H52)</f>
        <v/>
      </c>
      <c r="E16" s="40">
        <f>ABS(SUMIF('Historique commandes'!C3:C52,"Wolt",'Historique commandes'!F3:F52))</f>
        <v/>
      </c>
      <c r="F16" s="40">
        <f>SUMIF('Historique commandes'!C3:C52,"Wolt",'Historique commandes'!G3:G52)</f>
        <v/>
      </c>
    </row>
    <row r="17" ht="30" customHeight="1">
      <c r="B17" s="13" t="inlineStr">
        <is>
          <t>Autres</t>
        </is>
      </c>
      <c r="C17" s="14">
        <f>COUNTIF('Historique commandes'!C3:C52,"Autres")</f>
        <v/>
      </c>
      <c r="D17" s="39">
        <f>SUMIF('Historique commandes'!C3:C52,"Autres",'Historique commandes'!H3:H52)</f>
        <v/>
      </c>
      <c r="E17" s="39">
        <f>ABS(SUMIF('Historique commandes'!C3:C52,"Autres",'Historique commandes'!F3:F52))</f>
        <v/>
      </c>
      <c r="F17" s="39">
        <f>SUMIF('Historique commandes'!C3:C52,"Autres",'Historique commandes'!G3:G52)</f>
        <v/>
      </c>
    </row>
    <row r="19" ht="14" customHeight="1"/>
    <row r="20" ht="26" customHeight="1">
      <c r="B20" s="3" t="inlineStr">
        <is>
          <t>INDICATEURS &amp; RECOMMANDATIONS</t>
        </is>
      </c>
    </row>
    <row r="21" ht="34" customHeight="1">
      <c r="B21" s="4" t="inlineStr">
        <is>
          <t>Abonnement Wolt+ rentable ?</t>
        </is>
      </c>
      <c r="C21" s="5" t="n"/>
      <c r="D21" s="6" t="n"/>
      <c r="E21" s="19">
        <f>IF(SUMIF('Historique commandes'!C3:C52,"Wolt",'Historique commandes'!G3:G52)&gt;3.99,"✅ OUI — économie vs 3.99€/mois","❌ NON — commandes Wolt insuffisantes")</f>
        <v/>
      </c>
      <c r="F21" s="6" t="n"/>
    </row>
    <row r="22" ht="34" customHeight="1">
      <c r="B22" s="8" t="inlineStr">
        <is>
          <t>Abonnement Grab Unlimited ?</t>
        </is>
      </c>
      <c r="C22" s="5" t="n"/>
      <c r="D22" s="6" t="n"/>
      <c r="E22" s="20">
        <f>IF(SUMIF('Historique commandes'!C3:C52,"Grab",'Historique commandes'!G3:G52)&gt;5.99,"✅ OUI — économie vs 5.99€/mois","❌ NON — commandes Grab insuffisantes")</f>
        <v/>
      </c>
      <c r="F22" s="6" t="n"/>
    </row>
    <row r="23" ht="34" customHeight="1">
      <c r="B23" s="4" t="inlineStr">
        <is>
          <t>Promos disponibles non utilisées</t>
        </is>
      </c>
      <c r="C23" s="5" t="n"/>
      <c r="D23" s="6" t="n"/>
      <c r="E23" s="19">
        <f>COUNTIFS('Suivi promotions'!G3:G40,"Non",'Suivi promotions'!F3:F40,"&gt;="&amp;TODAY())&amp;" promo(s) active(s) à exploiter"</f>
        <v/>
      </c>
      <c r="F23" s="6" t="n"/>
    </row>
    <row r="24" ht="34" customHeight="1">
      <c r="B24" s="8" t="inlineStr">
        <is>
          <t>Promos expirées non utilisées</t>
        </is>
      </c>
      <c r="C24" s="5" t="n"/>
      <c r="D24" s="6" t="n"/>
      <c r="E24" s="20">
        <f>COUNTIFS('Suivi promotions'!G3:G40,"Non",'Suivi promotions'!F3:F40,"&lt;"&amp;TODAY())&amp;" promo(s) manquée(s)"</f>
        <v/>
      </c>
      <c r="F24" s="6" t="n"/>
    </row>
    <row r="26" ht="14" customHeight="1"/>
    <row r="27" ht="26" customHeight="1">
      <c r="B27" s="3" t="inlineStr">
        <is>
          <t>OBJECTIF MENSUEL</t>
        </is>
      </c>
    </row>
    <row r="28" ht="36" customHeight="1">
      <c r="B28" s="21" t="inlineStr">
        <is>
          <t>Budget mensuel cible (€)</t>
        </is>
      </c>
      <c r="C28" s="6" t="n"/>
      <c r="D28" s="41" t="n">
        <v>200</v>
      </c>
      <c r="E28" s="6" t="n"/>
      <c r="F28" s="23" t="n"/>
    </row>
    <row r="29" ht="36" customHeight="1">
      <c r="B29" s="4" t="inlineStr">
        <is>
          <t>Dépensé ce mois (€)</t>
        </is>
      </c>
      <c r="C29" s="6" t="n"/>
      <c r="D29" s="35">
        <f>'Historique commandes'!H54</f>
        <v/>
      </c>
      <c r="E29" s="6" t="n"/>
      <c r="F29" s="23" t="n"/>
    </row>
    <row r="30" ht="36" customHeight="1">
      <c r="B30" s="8" t="inlineStr">
        <is>
          <t>Reste du budget (€)</t>
        </is>
      </c>
      <c r="C30" s="6" t="n"/>
      <c r="D30" s="42">
        <f>D28-D29</f>
        <v/>
      </c>
      <c r="E30" s="6" t="n"/>
      <c r="F30" s="23" t="n"/>
    </row>
  </sheetData>
  <mergeCells count="34">
    <mergeCell ref="B4:F4"/>
    <mergeCell ref="B11:D11"/>
    <mergeCell ref="E24:F24"/>
    <mergeCell ref="B23:D23"/>
    <mergeCell ref="B8:D8"/>
    <mergeCell ref="E5:F5"/>
    <mergeCell ref="E23:F23"/>
    <mergeCell ref="E8:F8"/>
    <mergeCell ref="B27:F27"/>
    <mergeCell ref="B10:D10"/>
    <mergeCell ref="B2:F2"/>
    <mergeCell ref="E10:F10"/>
    <mergeCell ref="B9:D9"/>
    <mergeCell ref="B1:F1"/>
    <mergeCell ref="E9:F9"/>
    <mergeCell ref="B6:D6"/>
    <mergeCell ref="B24:D24"/>
    <mergeCell ref="B13:F13"/>
    <mergeCell ref="B5:D5"/>
    <mergeCell ref="E6:F6"/>
    <mergeCell ref="B29:C29"/>
    <mergeCell ref="E11:F11"/>
    <mergeCell ref="B28:C28"/>
    <mergeCell ref="D28:E28"/>
    <mergeCell ref="B7:D7"/>
    <mergeCell ref="B30:C30"/>
    <mergeCell ref="D30:E30"/>
    <mergeCell ref="E7:F7"/>
    <mergeCell ref="B20:F20"/>
    <mergeCell ref="B22:D22"/>
    <mergeCell ref="D29:E29"/>
    <mergeCell ref="E22:F22"/>
    <mergeCell ref="B21:D21"/>
    <mergeCell ref="E21:F21"/>
  </mergeCells>
  <conditionalFormatting sqref="D30:E30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E11:F11">
    <cfRule type="cellIs" priority="3" operator="greaterThanOrEqual" dxfId="6">
      <formula>8</formula>
    </cfRule>
    <cfRule type="cellIs" priority="4" operator="between" dxfId="7">
      <formula>5</formula>
      <formula>7.9</formula>
    </cfRule>
    <cfRule type="cellIs" priority="5" operator="lessThan" dxfId="8">
      <formula>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14F"/>
    <outlinePr summaryBelow="1" summaryRight="1"/>
    <pageSetUpPr/>
  </sheetPr>
  <dimension ref="B1:G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8" max="8"/>
  </cols>
  <sheetData>
    <row r="1" ht="40" customHeight="1">
      <c r="B1" s="50" t="inlineStr">
        <is>
          <t>🟢 ANALYSE GRAB — PATTERNS &amp; OPTIMISATION</t>
        </is>
      </c>
    </row>
    <row r="2" ht="18" customHeight="1">
      <c r="B2" s="2" t="inlineStr">
        <is>
          <t>Données filtrées automatiquement sur Grab · Mis à jour en temps réel</t>
        </is>
      </c>
    </row>
    <row r="3" ht="10" customHeight="1"/>
    <row r="4" ht="28" customHeight="1">
      <c r="B4" s="51" t="inlineStr">
        <is>
          <t xml:space="preserve">  KPIs GRAB</t>
        </is>
      </c>
    </row>
    <row r="5" ht="32" customHeight="1">
      <c r="B5" s="52" t="inlineStr">
        <is>
          <t>Nb de commandes Grab</t>
        </is>
      </c>
      <c r="C5" s="5" t="n"/>
      <c r="D5" s="6" t="n"/>
      <c r="E5" s="53">
        <f>COUNTIF('Historique commandes'!C3:C52,"Grab")</f>
        <v/>
      </c>
      <c r="F5" s="5" t="n"/>
      <c r="G5" s="6" t="n"/>
    </row>
    <row r="6" ht="32" customHeight="1">
      <c r="B6" s="54" t="inlineStr">
        <is>
          <t>Total dépensé Grab (€)</t>
        </is>
      </c>
      <c r="C6" s="5" t="n"/>
      <c r="D6" s="6" t="n"/>
      <c r="E6" s="55">
        <f>SUMIF('Historique commandes'!C3:C52,"Grab",'Historique commandes'!H3:H52)</f>
        <v/>
      </c>
      <c r="F6" s="5" t="n"/>
      <c r="G6" s="6" t="n"/>
    </row>
    <row r="7" ht="32" customHeight="1">
      <c r="B7" s="52" t="inlineStr">
        <is>
          <t>Panier moyen Grab (€)</t>
        </is>
      </c>
      <c r="C7" s="5" t="n"/>
      <c r="D7" s="6" t="n"/>
      <c r="E7" s="56">
        <f>IFERROR(SUMIF('Historique commandes'!C3:C52,"Grab",'Historique commandes'!E3:E52)/COUNTIF('Historique commandes'!C3:C52,"Grab"),0)</f>
        <v/>
      </c>
      <c r="F7" s="5" t="n"/>
      <c r="G7" s="6" t="n"/>
    </row>
    <row r="8" ht="32" customHeight="1">
      <c r="B8" s="54" t="inlineStr">
        <is>
          <t>Économies totales Grab (€)</t>
        </is>
      </c>
      <c r="C8" s="5" t="n"/>
      <c r="D8" s="6" t="n"/>
      <c r="E8" s="55">
        <f>ABS(SUMIF('Historique commandes'!C3:C52,"Grab",'Historique commandes'!F3:F52))</f>
        <v/>
      </c>
      <c r="F8" s="5" t="n"/>
      <c r="G8" s="6" t="n"/>
    </row>
    <row r="9" ht="32" customHeight="1">
      <c r="B9" s="52" t="inlineStr">
        <is>
          <t>Frais livraison Grab (€)</t>
        </is>
      </c>
      <c r="C9" s="5" t="n"/>
      <c r="D9" s="6" t="n"/>
      <c r="E9" s="56">
        <f>SUMIF('Historique commandes'!C3:C52,"Grab",'Historique commandes'!G3:G52)</f>
        <v/>
      </c>
      <c r="F9" s="5" t="n"/>
      <c r="G9" s="6" t="n"/>
    </row>
    <row r="10" ht="32" customHeight="1">
      <c r="B10" s="54" t="inlineStr">
        <is>
          <t>Taux promo utilisé</t>
        </is>
      </c>
      <c r="C10" s="5" t="n"/>
      <c r="D10" s="6" t="n"/>
      <c r="E10" s="57">
        <f>IFERROR(COUNTIFS('Historique commandes'!C3:C52,"Grab",'Historique commandes'!I3:I52,"&lt;&gt;")/COUNTIF('Historique commandes'!C3:C52,"Grab"),0)</f>
        <v/>
      </c>
      <c r="F10" s="5" t="n"/>
      <c r="G10" s="6" t="n"/>
    </row>
    <row r="11" ht="32" customHeight="1">
      <c r="B11" s="52" t="inlineStr">
        <is>
          <t>Score moyen optimisation</t>
        </is>
      </c>
      <c r="C11" s="5" t="n"/>
      <c r="D11" s="6" t="n"/>
      <c r="E11" s="58">
        <f>IFERROR(AVERAGEIF('Historique commandes'!C3:C52,"Grab",'Historique commandes'!K3:K52),0)</f>
        <v/>
      </c>
      <c r="F11" s="5" t="n"/>
      <c r="G11" s="6" t="n"/>
    </row>
    <row r="13" ht="14" customHeight="1"/>
    <row r="14" ht="28" customHeight="1">
      <c r="B14" s="51" t="inlineStr">
        <is>
          <t xml:space="preserve">  PATTERNS — MEILLEURS JOURS GRAB</t>
        </is>
      </c>
    </row>
    <row r="15" ht="26" customHeight="1">
      <c r="B15" s="59" t="inlineStr">
        <is>
          <t>Jour</t>
        </is>
      </c>
      <c r="C15" s="59" t="inlineStr">
        <is>
          <t>Nb commandes</t>
        </is>
      </c>
      <c r="D15" s="59" t="inlineStr">
        <is>
          <t>Panier moyen (€)</t>
        </is>
      </c>
      <c r="E15" s="59" t="inlineStr">
        <is>
          <t>Économie moy. (€)</t>
        </is>
      </c>
      <c r="F15" s="59" t="inlineStr">
        <is>
          <t>% avec promo</t>
        </is>
      </c>
      <c r="G15" s="59" t="inlineStr">
        <is>
          <t>Score moyen</t>
        </is>
      </c>
    </row>
    <row r="16" ht="28" customHeight="1">
      <c r="B16" s="60" t="inlineStr">
        <is>
          <t>Lundi</t>
        </is>
      </c>
      <c r="C16" s="14">
        <f>COUNTIFS('Historique commandes'!C3:C52,"Grab",'Historique commandes'!B3:B52,"Lun")</f>
        <v/>
      </c>
      <c r="D16" s="39">
        <f>IFERROR(AVERAGEIFS('Historique commandes'!E3:E52,'Historique commandes'!C3:C52,"Grab",'Historique commandes'!B3:B52,"Lun"),"-")</f>
        <v/>
      </c>
      <c r="E16" s="39">
        <f>IFERROR(ABS(AVERAGEIFS('Historique commandes'!F3:F52,'Historique commandes'!C3:C52,"Grab",'Historique commandes'!B3:B52,"Lun",'Historique commandes'!F3:F52,"&lt;0")),0)</f>
        <v/>
      </c>
      <c r="F16" s="61">
        <f>IFERROR(COUNTIFS('Historique commandes'!C3:C52,"Grab",'Historique commandes'!B3:B52,"Lun",'Historique commandes'!I3:I52,"&lt;&gt;")/C16,0)</f>
        <v/>
      </c>
      <c r="G16" s="62">
        <f>IFERROR(AVERAGEIFS('Historique commandes'!K3:K52,'Historique commandes'!C3:C52,"Grab",'Historique commandes'!B3:B52,"Lun"),"-")</f>
        <v/>
      </c>
    </row>
    <row r="17" ht="28" customHeight="1">
      <c r="B17" s="63" t="inlineStr">
        <is>
          <t>Mardi</t>
        </is>
      </c>
      <c r="C17" s="17">
        <f>COUNTIFS('Historique commandes'!C3:C52,"Grab",'Historique commandes'!B3:B52,"Mar")</f>
        <v/>
      </c>
      <c r="D17" s="40">
        <f>IFERROR(AVERAGEIFS('Historique commandes'!E3:E52,'Historique commandes'!C3:C52,"Grab",'Historique commandes'!B3:B52,"Mar"),"-")</f>
        <v/>
      </c>
      <c r="E17" s="40">
        <f>IFERROR(ABS(AVERAGEIFS('Historique commandes'!F3:F52,'Historique commandes'!C3:C52,"Grab",'Historique commandes'!B3:B52,"Mar",'Historique commandes'!F3:F52,"&lt;0")),0)</f>
        <v/>
      </c>
      <c r="F17" s="64">
        <f>IFERROR(COUNTIFS('Historique commandes'!C3:C52,"Grab",'Historique commandes'!B3:B52,"Mar",'Historique commandes'!I3:I52,"&lt;&gt;")/C17,0)</f>
        <v/>
      </c>
      <c r="G17" s="65">
        <f>IFERROR(AVERAGEIFS('Historique commandes'!K3:K52,'Historique commandes'!C3:C52,"Grab",'Historique commandes'!B3:B52,"Mar"),"-")</f>
        <v/>
      </c>
    </row>
    <row r="18" ht="28" customHeight="1">
      <c r="B18" s="60" t="inlineStr">
        <is>
          <t>Mercredi</t>
        </is>
      </c>
      <c r="C18" s="14">
        <f>COUNTIFS('Historique commandes'!C3:C52,"Grab",'Historique commandes'!B3:B52,"Mer")</f>
        <v/>
      </c>
      <c r="D18" s="39">
        <f>IFERROR(AVERAGEIFS('Historique commandes'!E3:E52,'Historique commandes'!C3:C52,"Grab",'Historique commandes'!B3:B52,"Mer"),"-")</f>
        <v/>
      </c>
      <c r="E18" s="39">
        <f>IFERROR(ABS(AVERAGEIFS('Historique commandes'!F3:F52,'Historique commandes'!C3:C52,"Grab",'Historique commandes'!B3:B52,"Mer",'Historique commandes'!F3:F52,"&lt;0")),0)</f>
        <v/>
      </c>
      <c r="F18" s="61">
        <f>IFERROR(COUNTIFS('Historique commandes'!C3:C52,"Grab",'Historique commandes'!B3:B52,"Mer",'Historique commandes'!I3:I52,"&lt;&gt;")/C18,0)</f>
        <v/>
      </c>
      <c r="G18" s="62">
        <f>IFERROR(AVERAGEIFS('Historique commandes'!K3:K52,'Historique commandes'!C3:C52,"Grab",'Historique commandes'!B3:B52,"Mer"),"-")</f>
        <v/>
      </c>
    </row>
    <row r="19" ht="28" customHeight="1">
      <c r="B19" s="63" t="inlineStr">
        <is>
          <t>Jeudi</t>
        </is>
      </c>
      <c r="C19" s="17">
        <f>COUNTIFS('Historique commandes'!C3:C52,"Grab",'Historique commandes'!B3:B52,"Jeu")</f>
        <v/>
      </c>
      <c r="D19" s="40">
        <f>IFERROR(AVERAGEIFS('Historique commandes'!E3:E52,'Historique commandes'!C3:C52,"Grab",'Historique commandes'!B3:B52,"Jeu"),"-")</f>
        <v/>
      </c>
      <c r="E19" s="40">
        <f>IFERROR(ABS(AVERAGEIFS('Historique commandes'!F3:F52,'Historique commandes'!C3:C52,"Grab",'Historique commandes'!B3:B52,"Jeu",'Historique commandes'!F3:F52,"&lt;0")),0)</f>
        <v/>
      </c>
      <c r="F19" s="64">
        <f>IFERROR(COUNTIFS('Historique commandes'!C3:C52,"Grab",'Historique commandes'!B3:B52,"Jeu",'Historique commandes'!I3:I52,"&lt;&gt;")/C19,0)</f>
        <v/>
      </c>
      <c r="G19" s="65">
        <f>IFERROR(AVERAGEIFS('Historique commandes'!K3:K52,'Historique commandes'!C3:C52,"Grab",'Historique commandes'!B3:B52,"Jeu"),"-")</f>
        <v/>
      </c>
    </row>
    <row r="20" ht="28" customHeight="1">
      <c r="B20" s="60" t="inlineStr">
        <is>
          <t>Vendredi</t>
        </is>
      </c>
      <c r="C20" s="14">
        <f>COUNTIFS('Historique commandes'!C3:C52,"Grab",'Historique commandes'!B3:B52,"Ven")</f>
        <v/>
      </c>
      <c r="D20" s="39">
        <f>IFERROR(AVERAGEIFS('Historique commandes'!E3:E52,'Historique commandes'!C3:C52,"Grab",'Historique commandes'!B3:B52,"Ven"),"-")</f>
        <v/>
      </c>
      <c r="E20" s="39">
        <f>IFERROR(ABS(AVERAGEIFS('Historique commandes'!F3:F52,'Historique commandes'!C3:C52,"Grab",'Historique commandes'!B3:B52,"Ven",'Historique commandes'!F3:F52,"&lt;0")),0)</f>
        <v/>
      </c>
      <c r="F20" s="61">
        <f>IFERROR(COUNTIFS('Historique commandes'!C3:C52,"Grab",'Historique commandes'!B3:B52,"Ven",'Historique commandes'!I3:I52,"&lt;&gt;")/C20,0)</f>
        <v/>
      </c>
      <c r="G20" s="62">
        <f>IFERROR(AVERAGEIFS('Historique commandes'!K3:K52,'Historique commandes'!C3:C52,"Grab",'Historique commandes'!B3:B52,"Ven"),"-")</f>
        <v/>
      </c>
    </row>
    <row r="21" ht="28" customHeight="1">
      <c r="B21" s="63" t="inlineStr">
        <is>
          <t>Samedi</t>
        </is>
      </c>
      <c r="C21" s="17">
        <f>COUNTIFS('Historique commandes'!C3:C52,"Grab",'Historique commandes'!B3:B52,"Sam")</f>
        <v/>
      </c>
      <c r="D21" s="40">
        <f>IFERROR(AVERAGEIFS('Historique commandes'!E3:E52,'Historique commandes'!C3:C52,"Grab",'Historique commandes'!B3:B52,"Sam"),"-")</f>
        <v/>
      </c>
      <c r="E21" s="40">
        <f>IFERROR(ABS(AVERAGEIFS('Historique commandes'!F3:F52,'Historique commandes'!C3:C52,"Grab",'Historique commandes'!B3:B52,"Sam",'Historique commandes'!F3:F52,"&lt;0")),0)</f>
        <v/>
      </c>
      <c r="F21" s="64">
        <f>IFERROR(COUNTIFS('Historique commandes'!C3:C52,"Grab",'Historique commandes'!B3:B52,"Sam",'Historique commandes'!I3:I52,"&lt;&gt;")/C21,0)</f>
        <v/>
      </c>
      <c r="G21" s="65">
        <f>IFERROR(AVERAGEIFS('Historique commandes'!K3:K52,'Historique commandes'!C3:C52,"Grab",'Historique commandes'!B3:B52,"Sam"),"-")</f>
        <v/>
      </c>
    </row>
    <row r="22" ht="28" customHeight="1">
      <c r="B22" s="60" t="inlineStr">
        <is>
          <t>Dimanche</t>
        </is>
      </c>
      <c r="C22" s="14">
        <f>COUNTIFS('Historique commandes'!C3:C52,"Grab",'Historique commandes'!B3:B52,"Dim")</f>
        <v/>
      </c>
      <c r="D22" s="39">
        <f>IFERROR(AVERAGEIFS('Historique commandes'!E3:E52,'Historique commandes'!C3:C52,"Grab",'Historique commandes'!B3:B52,"Dim"),"-")</f>
        <v/>
      </c>
      <c r="E22" s="39">
        <f>IFERROR(ABS(AVERAGEIFS('Historique commandes'!F3:F52,'Historique commandes'!C3:C52,"Grab",'Historique commandes'!B3:B52,"Dim",'Historique commandes'!F3:F52,"&lt;0")),0)</f>
        <v/>
      </c>
      <c r="F22" s="61">
        <f>IFERROR(COUNTIFS('Historique commandes'!C3:C52,"Grab",'Historique commandes'!B3:B52,"Dim",'Historique commandes'!I3:I52,"&lt;&gt;")/C22,0)</f>
        <v/>
      </c>
      <c r="G22" s="62">
        <f>IFERROR(AVERAGEIFS('Historique commandes'!K3:K52,'Historique commandes'!C3:C52,"Grab",'Historique commandes'!B3:B52,"Dim"),"-")</f>
        <v/>
      </c>
    </row>
    <row r="24" ht="14" customHeight="1"/>
    <row r="25" ht="28" customHeight="1">
      <c r="B25" s="51" t="inlineStr">
        <is>
          <t xml:space="preserve">  PATTERNS — CRÉNEAUX HORAIRES GRAB</t>
        </is>
      </c>
    </row>
    <row r="26" ht="26" customHeight="1">
      <c r="B26" s="59" t="inlineStr">
        <is>
          <t>Créneau</t>
        </is>
      </c>
      <c r="C26" s="59" t="inlineStr">
        <is>
          <t>Nb commandes</t>
        </is>
      </c>
      <c r="D26" s="59" t="inlineStr">
        <is>
          <t>Panier moyen (€)</t>
        </is>
      </c>
      <c r="E26" s="59" t="inlineStr">
        <is>
          <t>Économie moy. (€)</t>
        </is>
      </c>
      <c r="F26" s="59" t="inlineStr">
        <is>
          <t>% avec promo</t>
        </is>
      </c>
      <c r="G26" s="59" t="inlineStr">
        <is>
          <t>Recommandation</t>
        </is>
      </c>
    </row>
    <row r="27" ht="30" customHeight="1">
      <c r="B27" s="13" t="inlineStr">
        <is>
          <t>🌅 Matin (7h-11h)</t>
        </is>
      </c>
      <c r="C27" s="14">
        <f>SUMPRODUCT(('Historique commandes'!C3:C52="Grab")*('Historique commandes'!M3:M52&lt;&gt;"")*(VALUE(LEFT('Historique commandes'!M3:M52,2))&gt;=7)*(VALUE(LEFT('Historique commandes'!M3:M52,2))&lt;11))</f>
        <v/>
      </c>
      <c r="D27" s="39">
        <f>IFERROR(SUMPRODUCT(('Historique commandes'!C3:C52="Grab")*('Historique commandes'!M3:M52&lt;&gt;"")*(VALUE(LEFT('Historique commandes'!M3:M52,2))&gt;=7)*(VALUE(LEFT('Historique commandes'!M3:M52,2))&lt;11)*'Historique commandes'!E3:E52)/=SUMPRODUCT(('Historique commandes'!C3:C52="Grab")*('Historique commandes'!M3:M52&lt;&gt;"")*(VALUE(LEFT('Historique commandes'!M3:M52,2))&gt;=7)*(VALUE(LEFT('Historique commandes'!M3:M52,2))&lt;11)),"-")</f>
        <v/>
      </c>
      <c r="E27" s="39">
        <f>IFERROR(ABS(SUMPRODUCT(('Historique commandes'!C3:C52="Grab")*('Historique commandes'!M3:M52&lt;&gt;"")*(VALUE(LEFT('Historique commandes'!M3:M52,2))&gt;=7)*(VALUE(LEFT('Historique commandes'!M3:M52,2))&lt;11)*('Historique commandes'!F3:F52&lt;0)*'Historique commandes'!F3:F52))/=SUMPRODUCT(('Historique commandes'!C3:C52="Grab")*('Historique commandes'!M3:M52&lt;&gt;"")*(VALUE(LEFT('Historique commandes'!M3:M52,2))&gt;=7)*(VALUE(LEFT('Historique commandes'!M3:M52,2))&lt;11)),0)</f>
        <v/>
      </c>
      <c r="F27" s="61">
        <f>IFERROR(SUMPRODUCT(('Historique commandes'!C3:C52="Grab")*('Historique commandes'!M3:M52&lt;&gt;"")*(VALUE(LEFT('Historique commandes'!M3:M52,2))&gt;=7)*(VALUE(LEFT('Historique commandes'!M3:M52,2))&lt;11)*('Historique commandes'!I3:I52&lt;&gt;""))/=SUMPRODUCT(('Historique commandes'!C3:C52="Grab")*('Historique commandes'!M3:M52&lt;&gt;"")*(VALUE(LEFT('Historique commandes'!M3:M52,2))&gt;=7)*(VALUE(LEFT('Historique commandes'!M3:M52,2))&lt;11)),0)</f>
        <v/>
      </c>
      <c r="G27" s="66">
        <f>IF(=SUMPRODUCT(('Historique commandes'!C3:C52="Grab")*('Historique commandes'!M3:M52&lt;&gt;"")*(VALUE(LEFT('Historique commandes'!M3:M52,2))&gt;=7)*(VALUE(LEFT('Historique commandes'!M3:M52,2))&lt;11))=0,"— Pas encore de données",IF(AND(=IFERROR(SUMPRODUCT(('Historique commandes'!C3:C52="Grab")*('Historique commandes'!M3:M52&lt;&gt;"")*(VALUE(LEFT('Historique commandes'!M3:M52,2))&gt;=7)*(VALUE(LEFT('Historique commandes'!M3:M52,2))&lt;11)*'Historique commandes'!E3:E52)/=SUMPRODUCT(('Historique commandes'!C3:C52="Grab")*('Historique commandes'!M3:M52&lt;&gt;"")*(VALUE(LEFT('Historique commandes'!M3:M52,2))&gt;=7)*(VALUE(LEFT('Historique commandes'!M3:M52,2))&lt;11)),"-")&lt;AVERAGEIF('Historique commandes'!C3:C52,"Grab",'Historique commandes'!E3:E52),=IFERROR(SUMPRODUCT(('Historique commandes'!C3:C52="Grab")*('Historique commandes'!M3:M52&lt;&gt;"")*(VALUE(LEFT('Historique commandes'!M3:M52,2))&gt;=7)*(VALUE(LEFT('Historique commandes'!M3:M52,2))&lt;11)*('Historique commandes'!I3:I52&lt;&gt;""))/=SUMPRODUCT(('Historique commandes'!C3:C52="Grab")*('Historique commandes'!M3:M52&lt;&gt;"")*(VALUE(LEFT('Historique commandes'!M3:M52,2))&gt;=7)*(VALUE(LEFT('Historique commandes'!M3:M52,2))&lt;11)),0)&gt;0.5),"✅ Créneau optimal",IF(=IFERROR(SUMPRODUCT(('Historique commandes'!C3:C52="Grab")*('Historique commandes'!M3:M52&lt;&gt;"")*(VALUE(LEFT('Historique commandes'!M3:M52,2))&gt;=7)*(VALUE(LEFT('Historique commandes'!M3:M52,2))&lt;11)*'Historique commandes'!E3:E52)/=SUMPRODUCT(('Historique commandes'!C3:C52="Grab")*('Historique commandes'!M3:M52&lt;&gt;"")*(VALUE(LEFT('Historique commandes'!M3:M52,2))&gt;=7)*(VALUE(LEFT('Historique commandes'!M3:M52,2))&lt;11)),"-")&gt;AVERAGEIF('Historique commandes'!C3:C52,"Grab",'Historique commandes'!E3:E52)*1.1,"⚠️ Éviter si possible","🟡 Correct")))</f>
        <v/>
      </c>
    </row>
    <row r="28" ht="30" customHeight="1">
      <c r="B28" s="16" t="inlineStr">
        <is>
          <t>☀️ Midi (11h-14h)</t>
        </is>
      </c>
      <c r="C28" s="17">
        <f>SUMPRODUCT(('Historique commandes'!C3:C52="Grab")*('Historique commandes'!M3:M52&lt;&gt;"")*(VALUE(LEFT('Historique commandes'!M3:M52,2))&gt;=11)*(VALUE(LEFT('Historique commandes'!M3:M52,2))&lt;14))</f>
        <v/>
      </c>
      <c r="D28" s="40">
        <f>IFERROR(SUMPRODUCT(('Historique commandes'!C3:C52="Grab")*('Historique commandes'!M3:M52&lt;&gt;"")*(VALUE(LEFT('Historique commandes'!M3:M52,2))&gt;=11)*(VALUE(LEFT('Historique commandes'!M3:M52,2))&lt;14)*'Historique commandes'!E3:E52)/=SUMPRODUCT(('Historique commandes'!C3:C52="Grab")*('Historique commandes'!M3:M52&lt;&gt;"")*(VALUE(LEFT('Historique commandes'!M3:M52,2))&gt;=11)*(VALUE(LEFT('Historique commandes'!M3:M52,2))&lt;14)),"-")</f>
        <v/>
      </c>
      <c r="E28" s="40">
        <f>IFERROR(ABS(SUMPRODUCT(('Historique commandes'!C3:C52="Grab")*('Historique commandes'!M3:M52&lt;&gt;"")*(VALUE(LEFT('Historique commandes'!M3:M52,2))&gt;=11)*(VALUE(LEFT('Historique commandes'!M3:M52,2))&lt;14)*('Historique commandes'!F3:F52&lt;0)*'Historique commandes'!F3:F52))/=SUMPRODUCT(('Historique commandes'!C3:C52="Grab")*('Historique commandes'!M3:M52&lt;&gt;"")*(VALUE(LEFT('Historique commandes'!M3:M52,2))&gt;=11)*(VALUE(LEFT('Historique commandes'!M3:M52,2))&lt;14)),0)</f>
        <v/>
      </c>
      <c r="F28" s="64">
        <f>IFERROR(SUMPRODUCT(('Historique commandes'!C3:C52="Grab")*('Historique commandes'!M3:M52&lt;&gt;"")*(VALUE(LEFT('Historique commandes'!M3:M52,2))&gt;=11)*(VALUE(LEFT('Historique commandes'!M3:M52,2))&lt;14)*('Historique commandes'!I3:I52&lt;&gt;""))/=SUMPRODUCT(('Historique commandes'!C3:C52="Grab")*('Historique commandes'!M3:M52&lt;&gt;"")*(VALUE(LEFT('Historique commandes'!M3:M52,2))&gt;=11)*(VALUE(LEFT('Historique commandes'!M3:M52,2))&lt;14)),0)</f>
        <v/>
      </c>
      <c r="G28" s="67">
        <f>IF(=SUMPRODUCT(('Historique commandes'!C3:C52="Grab")*('Historique commandes'!M3:M52&lt;&gt;"")*(VALUE(LEFT('Historique commandes'!M3:M52,2))&gt;=11)*(VALUE(LEFT('Historique commandes'!M3:M52,2))&lt;14))=0,"— Pas encore de données",IF(AND(=IFERROR(SUMPRODUCT(('Historique commandes'!C3:C52="Grab")*('Historique commandes'!M3:M52&lt;&gt;"")*(VALUE(LEFT('Historique commandes'!M3:M52,2))&gt;=11)*(VALUE(LEFT('Historique commandes'!M3:M52,2))&lt;14)*'Historique commandes'!E3:E52)/=SUMPRODUCT(('Historique commandes'!C3:C52="Grab")*('Historique commandes'!M3:M52&lt;&gt;"")*(VALUE(LEFT('Historique commandes'!M3:M52,2))&gt;=11)*(VALUE(LEFT('Historique commandes'!M3:M52,2))&lt;14)),"-")&lt;AVERAGEIF('Historique commandes'!C3:C52,"Grab",'Historique commandes'!E3:E52),=IFERROR(SUMPRODUCT(('Historique commandes'!C3:C52="Grab")*('Historique commandes'!M3:M52&lt;&gt;"")*(VALUE(LEFT('Historique commandes'!M3:M52,2))&gt;=11)*(VALUE(LEFT('Historique commandes'!M3:M52,2))&lt;14)*('Historique commandes'!I3:I52&lt;&gt;""))/=SUMPRODUCT(('Historique commandes'!C3:C52="Grab")*('Historique commandes'!M3:M52&lt;&gt;"")*(VALUE(LEFT('Historique commandes'!M3:M52,2))&gt;=11)*(VALUE(LEFT('Historique commandes'!M3:M52,2))&lt;14)),0)&gt;0.5),"✅ Créneau optimal",IF(=IFERROR(SUMPRODUCT(('Historique commandes'!C3:C52="Grab")*('Historique commandes'!M3:M52&lt;&gt;"")*(VALUE(LEFT('Historique commandes'!M3:M52,2))&gt;=11)*(VALUE(LEFT('Historique commandes'!M3:M52,2))&lt;14)*'Historique commandes'!E3:E52)/=SUMPRODUCT(('Historique commandes'!C3:C52="Grab")*('Historique commandes'!M3:M52&lt;&gt;"")*(VALUE(LEFT('Historique commandes'!M3:M52,2))&gt;=11)*(VALUE(LEFT('Historique commandes'!M3:M52,2))&lt;14)),"-")&gt;AVERAGEIF('Historique commandes'!C3:C52,"Grab",'Historique commandes'!E3:E52)*1.1,"⚠️ Éviter si possible","🟡 Correct")))</f>
        <v/>
      </c>
    </row>
    <row r="29" ht="30" customHeight="1">
      <c r="B29" s="13" t="inlineStr">
        <is>
          <t>🌤 Après-midi (14h-17h)</t>
        </is>
      </c>
      <c r="C29" s="14">
        <f>SUMPRODUCT(('Historique commandes'!C3:C52="Grab")*('Historique commandes'!M3:M52&lt;&gt;"")*(VALUE(LEFT('Historique commandes'!M3:M52,2))&gt;=14)*(VALUE(LEFT('Historique commandes'!M3:M52,2))&lt;17))</f>
        <v/>
      </c>
      <c r="D29" s="39">
        <f>IFERROR(SUMPRODUCT(('Historique commandes'!C3:C52="Grab")*('Historique commandes'!M3:M52&lt;&gt;"")*(VALUE(LEFT('Historique commandes'!M3:M52,2))&gt;=14)*(VALUE(LEFT('Historique commandes'!M3:M52,2))&lt;17)*'Historique commandes'!E3:E52)/=SUMPRODUCT(('Historique commandes'!C3:C52="Grab")*('Historique commandes'!M3:M52&lt;&gt;"")*(VALUE(LEFT('Historique commandes'!M3:M52,2))&gt;=14)*(VALUE(LEFT('Historique commandes'!M3:M52,2))&lt;17)),"-")</f>
        <v/>
      </c>
      <c r="E29" s="39">
        <f>IFERROR(ABS(SUMPRODUCT(('Historique commandes'!C3:C52="Grab")*('Historique commandes'!M3:M52&lt;&gt;"")*(VALUE(LEFT('Historique commandes'!M3:M52,2))&gt;=14)*(VALUE(LEFT('Historique commandes'!M3:M52,2))&lt;17)*('Historique commandes'!F3:F52&lt;0)*'Historique commandes'!F3:F52))/=SUMPRODUCT(('Historique commandes'!C3:C52="Grab")*('Historique commandes'!M3:M52&lt;&gt;"")*(VALUE(LEFT('Historique commandes'!M3:M52,2))&gt;=14)*(VALUE(LEFT('Historique commandes'!M3:M52,2))&lt;17)),0)</f>
        <v/>
      </c>
      <c r="F29" s="61">
        <f>IFERROR(SUMPRODUCT(('Historique commandes'!C3:C52="Grab")*('Historique commandes'!M3:M52&lt;&gt;"")*(VALUE(LEFT('Historique commandes'!M3:M52,2))&gt;=14)*(VALUE(LEFT('Historique commandes'!M3:M52,2))&lt;17)*('Historique commandes'!I3:I52&lt;&gt;""))/=SUMPRODUCT(('Historique commandes'!C3:C52="Grab")*('Historique commandes'!M3:M52&lt;&gt;"")*(VALUE(LEFT('Historique commandes'!M3:M52,2))&gt;=14)*(VALUE(LEFT('Historique commandes'!M3:M52,2))&lt;17)),0)</f>
        <v/>
      </c>
      <c r="G29" s="66">
        <f>IF(=SUMPRODUCT(('Historique commandes'!C3:C52="Grab")*('Historique commandes'!M3:M52&lt;&gt;"")*(VALUE(LEFT('Historique commandes'!M3:M52,2))&gt;=14)*(VALUE(LEFT('Historique commandes'!M3:M52,2))&lt;17))=0,"— Pas encore de données",IF(AND(=IFERROR(SUMPRODUCT(('Historique commandes'!C3:C52="Grab")*('Historique commandes'!M3:M52&lt;&gt;"")*(VALUE(LEFT('Historique commandes'!M3:M52,2))&gt;=14)*(VALUE(LEFT('Historique commandes'!M3:M52,2))&lt;17)*'Historique commandes'!E3:E52)/=SUMPRODUCT(('Historique commandes'!C3:C52="Grab")*('Historique commandes'!M3:M52&lt;&gt;"")*(VALUE(LEFT('Historique commandes'!M3:M52,2))&gt;=14)*(VALUE(LEFT('Historique commandes'!M3:M52,2))&lt;17)),"-")&lt;AVERAGEIF('Historique commandes'!C3:C52,"Grab",'Historique commandes'!E3:E52),=IFERROR(SUMPRODUCT(('Historique commandes'!C3:C52="Grab")*('Historique commandes'!M3:M52&lt;&gt;"")*(VALUE(LEFT('Historique commandes'!M3:M52,2))&gt;=14)*(VALUE(LEFT('Historique commandes'!M3:M52,2))&lt;17)*('Historique commandes'!I3:I52&lt;&gt;""))/=SUMPRODUCT(('Historique commandes'!C3:C52="Grab")*('Historique commandes'!M3:M52&lt;&gt;"")*(VALUE(LEFT('Historique commandes'!M3:M52,2))&gt;=14)*(VALUE(LEFT('Historique commandes'!M3:M52,2))&lt;17)),0)&gt;0.5),"✅ Créneau optimal",IF(=IFERROR(SUMPRODUCT(('Historique commandes'!C3:C52="Grab")*('Historique commandes'!M3:M52&lt;&gt;"")*(VALUE(LEFT('Historique commandes'!M3:M52,2))&gt;=14)*(VALUE(LEFT('Historique commandes'!M3:M52,2))&lt;17)*'Historique commandes'!E3:E52)/=SUMPRODUCT(('Historique commandes'!C3:C52="Grab")*('Historique commandes'!M3:M52&lt;&gt;"")*(VALUE(LEFT('Historique commandes'!M3:M52,2))&gt;=14)*(VALUE(LEFT('Historique commandes'!M3:M52,2))&lt;17)),"-")&gt;AVERAGEIF('Historique commandes'!C3:C52,"Grab",'Historique commandes'!E3:E52)*1.1,"⚠️ Éviter si possible","🟡 Correct")))</f>
        <v/>
      </c>
    </row>
    <row r="30" ht="30" customHeight="1">
      <c r="B30" s="16" t="inlineStr">
        <is>
          <t>🌆 Soir (17h-21h)</t>
        </is>
      </c>
      <c r="C30" s="17">
        <f>SUMPRODUCT(('Historique commandes'!C3:C52="Grab")*('Historique commandes'!M3:M52&lt;&gt;"")*(VALUE(LEFT('Historique commandes'!M3:M52,2))&gt;=17)*(VALUE(LEFT('Historique commandes'!M3:M52,2))&lt;21))</f>
        <v/>
      </c>
      <c r="D30" s="40">
        <f>IFERROR(SUMPRODUCT(('Historique commandes'!C3:C52="Grab")*('Historique commandes'!M3:M52&lt;&gt;"")*(VALUE(LEFT('Historique commandes'!M3:M52,2))&gt;=17)*(VALUE(LEFT('Historique commandes'!M3:M52,2))&lt;21)*'Historique commandes'!E3:E52)/=SUMPRODUCT(('Historique commandes'!C3:C52="Grab")*('Historique commandes'!M3:M52&lt;&gt;"")*(VALUE(LEFT('Historique commandes'!M3:M52,2))&gt;=17)*(VALUE(LEFT('Historique commandes'!M3:M52,2))&lt;21)),"-")</f>
        <v/>
      </c>
      <c r="E30" s="40">
        <f>IFERROR(ABS(SUMPRODUCT(('Historique commandes'!C3:C52="Grab")*('Historique commandes'!M3:M52&lt;&gt;"")*(VALUE(LEFT('Historique commandes'!M3:M52,2))&gt;=17)*(VALUE(LEFT('Historique commandes'!M3:M52,2))&lt;21)*('Historique commandes'!F3:F52&lt;0)*'Historique commandes'!F3:F52))/=SUMPRODUCT(('Historique commandes'!C3:C52="Grab")*('Historique commandes'!M3:M52&lt;&gt;"")*(VALUE(LEFT('Historique commandes'!M3:M52,2))&gt;=17)*(VALUE(LEFT('Historique commandes'!M3:M52,2))&lt;21)),0)</f>
        <v/>
      </c>
      <c r="F30" s="64">
        <f>IFERROR(SUMPRODUCT(('Historique commandes'!C3:C52="Grab")*('Historique commandes'!M3:M52&lt;&gt;"")*(VALUE(LEFT('Historique commandes'!M3:M52,2))&gt;=17)*(VALUE(LEFT('Historique commandes'!M3:M52,2))&lt;21)*('Historique commandes'!I3:I52&lt;&gt;""))/=SUMPRODUCT(('Historique commandes'!C3:C52="Grab")*('Historique commandes'!M3:M52&lt;&gt;"")*(VALUE(LEFT('Historique commandes'!M3:M52,2))&gt;=17)*(VALUE(LEFT('Historique commandes'!M3:M52,2))&lt;21)),0)</f>
        <v/>
      </c>
      <c r="G30" s="67">
        <f>IF(=SUMPRODUCT(('Historique commandes'!C3:C52="Grab")*('Historique commandes'!M3:M52&lt;&gt;"")*(VALUE(LEFT('Historique commandes'!M3:M52,2))&gt;=17)*(VALUE(LEFT('Historique commandes'!M3:M52,2))&lt;21))=0,"— Pas encore de données",IF(AND(=IFERROR(SUMPRODUCT(('Historique commandes'!C3:C52="Grab")*('Historique commandes'!M3:M52&lt;&gt;"")*(VALUE(LEFT('Historique commandes'!M3:M52,2))&gt;=17)*(VALUE(LEFT('Historique commandes'!M3:M52,2))&lt;21)*'Historique commandes'!E3:E52)/=SUMPRODUCT(('Historique commandes'!C3:C52="Grab")*('Historique commandes'!M3:M52&lt;&gt;"")*(VALUE(LEFT('Historique commandes'!M3:M52,2))&gt;=17)*(VALUE(LEFT('Historique commandes'!M3:M52,2))&lt;21)),"-")&lt;AVERAGEIF('Historique commandes'!C3:C52,"Grab",'Historique commandes'!E3:E52),=IFERROR(SUMPRODUCT(('Historique commandes'!C3:C52="Grab")*('Historique commandes'!M3:M52&lt;&gt;"")*(VALUE(LEFT('Historique commandes'!M3:M52,2))&gt;=17)*(VALUE(LEFT('Historique commandes'!M3:M52,2))&lt;21)*('Historique commandes'!I3:I52&lt;&gt;""))/=SUMPRODUCT(('Historique commandes'!C3:C52="Grab")*('Historique commandes'!M3:M52&lt;&gt;"")*(VALUE(LEFT('Historique commandes'!M3:M52,2))&gt;=17)*(VALUE(LEFT('Historique commandes'!M3:M52,2))&lt;21)),0)&gt;0.5),"✅ Créneau optimal",IF(=IFERROR(SUMPRODUCT(('Historique commandes'!C3:C52="Grab")*('Historique commandes'!M3:M52&lt;&gt;"")*(VALUE(LEFT('Historique commandes'!M3:M52,2))&gt;=17)*(VALUE(LEFT('Historique commandes'!M3:M52,2))&lt;21)*'Historique commandes'!E3:E52)/=SUMPRODUCT(('Historique commandes'!C3:C52="Grab")*('Historique commandes'!M3:M52&lt;&gt;"")*(VALUE(LEFT('Historique commandes'!M3:M52,2))&gt;=17)*(VALUE(LEFT('Historique commandes'!M3:M52,2))&lt;21)),"-")&gt;AVERAGEIF('Historique commandes'!C3:C52,"Grab",'Historique commandes'!E3:E52)*1.1,"⚠️ Éviter si possible","🟡 Correct")))</f>
        <v/>
      </c>
    </row>
    <row r="31" ht="30" customHeight="1">
      <c r="B31" s="13" t="inlineStr">
        <is>
          <t>🌙 Nuit (21h-0h)</t>
        </is>
      </c>
      <c r="C31" s="14">
        <f>SUMPRODUCT(('Historique commandes'!C3:C52="Grab")*('Historique commandes'!M3:M52&lt;&gt;"")*(VALUE(LEFT('Historique commandes'!M3:M52,2))&gt;=21)*(VALUE(LEFT('Historique commandes'!M3:M52,2))&lt;24))</f>
        <v/>
      </c>
      <c r="D31" s="39">
        <f>IFERROR(SUMPRODUCT(('Historique commandes'!C3:C52="Grab")*('Historique commandes'!M3:M52&lt;&gt;"")*(VALUE(LEFT('Historique commandes'!M3:M52,2))&gt;=21)*(VALUE(LEFT('Historique commandes'!M3:M52,2))&lt;24)*'Historique commandes'!E3:E52)/=SUMPRODUCT(('Historique commandes'!C3:C52="Grab")*('Historique commandes'!M3:M52&lt;&gt;"")*(VALUE(LEFT('Historique commandes'!M3:M52,2))&gt;=21)*(VALUE(LEFT('Historique commandes'!M3:M52,2))&lt;24)),"-")</f>
        <v/>
      </c>
      <c r="E31" s="39">
        <f>IFERROR(ABS(SUMPRODUCT(('Historique commandes'!C3:C52="Grab")*('Historique commandes'!M3:M52&lt;&gt;"")*(VALUE(LEFT('Historique commandes'!M3:M52,2))&gt;=21)*(VALUE(LEFT('Historique commandes'!M3:M52,2))&lt;24)*('Historique commandes'!F3:F52&lt;0)*'Historique commandes'!F3:F52))/=SUMPRODUCT(('Historique commandes'!C3:C52="Grab")*('Historique commandes'!M3:M52&lt;&gt;"")*(VALUE(LEFT('Historique commandes'!M3:M52,2))&gt;=21)*(VALUE(LEFT('Historique commandes'!M3:M52,2))&lt;24)),0)</f>
        <v/>
      </c>
      <c r="F31" s="61">
        <f>IFERROR(SUMPRODUCT(('Historique commandes'!C3:C52="Grab")*('Historique commandes'!M3:M52&lt;&gt;"")*(VALUE(LEFT('Historique commandes'!M3:M52,2))&gt;=21)*(VALUE(LEFT('Historique commandes'!M3:M52,2))&lt;24)*('Historique commandes'!I3:I52&lt;&gt;""))/=SUMPRODUCT(('Historique commandes'!C3:C52="Grab")*('Historique commandes'!M3:M52&lt;&gt;"")*(VALUE(LEFT('Historique commandes'!M3:M52,2))&gt;=21)*(VALUE(LEFT('Historique commandes'!M3:M52,2))&lt;24)),0)</f>
        <v/>
      </c>
      <c r="G31" s="66">
        <f>IF(=SUMPRODUCT(('Historique commandes'!C3:C52="Grab")*('Historique commandes'!M3:M52&lt;&gt;"")*(VALUE(LEFT('Historique commandes'!M3:M52,2))&gt;=21)*(VALUE(LEFT('Historique commandes'!M3:M52,2))&lt;24))=0,"— Pas encore de données",IF(AND(=IFERROR(SUMPRODUCT(('Historique commandes'!C3:C52="Grab")*('Historique commandes'!M3:M52&lt;&gt;"")*(VALUE(LEFT('Historique commandes'!M3:M52,2))&gt;=21)*(VALUE(LEFT('Historique commandes'!M3:M52,2))&lt;24)*'Historique commandes'!E3:E52)/=SUMPRODUCT(('Historique commandes'!C3:C52="Grab")*('Historique commandes'!M3:M52&lt;&gt;"")*(VALUE(LEFT('Historique commandes'!M3:M52,2))&gt;=21)*(VALUE(LEFT('Historique commandes'!M3:M52,2))&lt;24)),"-")&lt;AVERAGEIF('Historique commandes'!C3:C52,"Grab",'Historique commandes'!E3:E52),=IFERROR(SUMPRODUCT(('Historique commandes'!C3:C52="Grab")*('Historique commandes'!M3:M52&lt;&gt;"")*(VALUE(LEFT('Historique commandes'!M3:M52,2))&gt;=21)*(VALUE(LEFT('Historique commandes'!M3:M52,2))&lt;24)*('Historique commandes'!I3:I52&lt;&gt;""))/=SUMPRODUCT(('Historique commandes'!C3:C52="Grab")*('Historique commandes'!M3:M52&lt;&gt;"")*(VALUE(LEFT('Historique commandes'!M3:M52,2))&gt;=21)*(VALUE(LEFT('Historique commandes'!M3:M52,2))&lt;24)),0)&gt;0.5),"✅ Créneau optimal",IF(=IFERROR(SUMPRODUCT(('Historique commandes'!C3:C52="Grab")*('Historique commandes'!M3:M52&lt;&gt;"")*(VALUE(LEFT('Historique commandes'!M3:M52,2))&gt;=21)*(VALUE(LEFT('Historique commandes'!M3:M52,2))&lt;24)*'Historique commandes'!E3:E52)/=SUMPRODUCT(('Historique commandes'!C3:C52="Grab")*('Historique commandes'!M3:M52&lt;&gt;"")*(VALUE(LEFT('Historique commandes'!M3:M52,2))&gt;=21)*(VALUE(LEFT('Historique commandes'!M3:M52,2))&lt;24)),"-")&gt;AVERAGEIF('Historique commandes'!C3:C52,"Grab",'Historique commandes'!E3:E52)*1.1,"⚠️ Éviter si possible","🟡 Correct")))</f>
        <v/>
      </c>
    </row>
    <row r="33" ht="14" customHeight="1"/>
    <row r="34" ht="28" customHeight="1">
      <c r="B34" s="51" t="inlineStr">
        <is>
          <t xml:space="preserve">  TOP RESTAURANTS GRAB</t>
        </is>
      </c>
    </row>
    <row r="35" ht="26" customHeight="1">
      <c r="B35" s="59" t="inlineStr">
        <is>
          <t>Restaurant</t>
        </is>
      </c>
      <c r="C35" s="59" t="inlineStr">
        <is>
          <t>Nb commandes</t>
        </is>
      </c>
      <c r="D35" s="59" t="inlineStr">
        <is>
          <t>Panier moyen (€)</t>
        </is>
      </c>
      <c r="E35" s="59" t="inlineStr">
        <is>
          <t>Économie moy. (€)</t>
        </is>
      </c>
      <c r="F35" s="59" t="inlineStr">
        <is>
          <t>Score moyen</t>
        </is>
      </c>
      <c r="G35" s="59" t="inlineStr">
        <is>
          <t>Verdict</t>
        </is>
      </c>
    </row>
    <row r="36" ht="28" customHeight="1">
      <c r="B36" s="68" t="inlineStr">
        <is>
          <t>KFC</t>
        </is>
      </c>
      <c r="C36" s="14">
        <f>COUNTIFS('Historique commandes'!C3:C52,"Grab",'Historique commandes'!D3:D52,"KFC")</f>
        <v/>
      </c>
      <c r="D36" s="39">
        <f>IFERROR(AVERAGEIFS('Historique commandes'!E3:E52,'Historique commandes'!C3:C52,"Grab",'Historique commandes'!D3:D52,"KFC"),"-")</f>
        <v/>
      </c>
      <c r="E36" s="39">
        <f>IFERROR(ABS(AVERAGEIFS('Historique commandes'!F3:F52,'Historique commandes'!C3:C52,"Grab",'Historique commandes'!D3:D52,"KFC",'Historique commandes'!F3:F52,"&lt;0")),0)</f>
        <v/>
      </c>
      <c r="F36" s="69">
        <f>IFERROR(AVERAGEIFS('Historique commandes'!K3:K52,'Historique commandes'!C3:C52,"Grab",'Historique commandes'!D3:D52,"KFC"),"-")</f>
        <v/>
      </c>
      <c r="G36" s="66">
        <f>IF(C36=0,"— Jamais commandé",IF(E36&gt;=7,"⭐ Valeur excellente",IF(E36&gt;=5,"👍 Bon rapport qualité/prix","💸 Optimisation possible")))</f>
        <v/>
      </c>
    </row>
    <row r="37" ht="28" customHeight="1">
      <c r="B37" s="70" t="inlineStr">
        <is>
          <t>McDonald's</t>
        </is>
      </c>
      <c r="C37" s="17">
        <f>COUNTIFS('Historique commandes'!C3:C52,"Grab",'Historique commandes'!D3:D52,"McDonald's")</f>
        <v/>
      </c>
      <c r="D37" s="40">
        <f>IFERROR(AVERAGEIFS('Historique commandes'!E3:E52,'Historique commandes'!C3:C52,"Grab",'Historique commandes'!D3:D52,"McDonald's"),"-")</f>
        <v/>
      </c>
      <c r="E37" s="40">
        <f>IFERROR(ABS(AVERAGEIFS('Historique commandes'!F3:F52,'Historique commandes'!C3:C52,"Grab",'Historique commandes'!D3:D52,"McDonald's",'Historique commandes'!F3:F52,"&lt;0")),0)</f>
        <v/>
      </c>
      <c r="F37" s="71">
        <f>IFERROR(AVERAGEIFS('Historique commandes'!K3:K52,'Historique commandes'!C3:C52,"Grab",'Historique commandes'!D3:D52,"McDonald's"),"-")</f>
        <v/>
      </c>
      <c r="G37" s="67">
        <f>IF(C37=0,"— Jamais commandé",IF(E37&gt;=7,"⭐ Valeur excellente",IF(E37&gt;=5,"👍 Bon rapport qualité/prix","💸 Optimisation possible")))</f>
        <v/>
      </c>
    </row>
    <row r="38" ht="28" customHeight="1">
      <c r="B38" s="68" t="inlineStr">
        <is>
          <t>Sushi House</t>
        </is>
      </c>
      <c r="C38" s="14">
        <f>COUNTIFS('Historique commandes'!C3:C52,"Grab",'Historique commandes'!D3:D52,"Sushi House")</f>
        <v/>
      </c>
      <c r="D38" s="39">
        <f>IFERROR(AVERAGEIFS('Historique commandes'!E3:E52,'Historique commandes'!C3:C52,"Grab",'Historique commandes'!D3:D52,"Sushi House"),"-")</f>
        <v/>
      </c>
      <c r="E38" s="39">
        <f>IFERROR(ABS(AVERAGEIFS('Historique commandes'!F3:F52,'Historique commandes'!C3:C52,"Grab",'Historique commandes'!D3:D52,"Sushi House",'Historique commandes'!F3:F52,"&lt;0")),0)</f>
        <v/>
      </c>
      <c r="F38" s="69">
        <f>IFERROR(AVERAGEIFS('Historique commandes'!K3:K52,'Historique commandes'!C3:C52,"Grab",'Historique commandes'!D3:D52,"Sushi House"),"-")</f>
        <v/>
      </c>
      <c r="G38" s="66">
        <f>IF(C38=0,"— Jamais commandé",IF(E38&gt;=7,"⭐ Valeur excellente",IF(E38&gt;=5,"👍 Bon rapport qualité/prix","💸 Optimisation possible")))</f>
        <v/>
      </c>
    </row>
    <row r="39" ht="28" customHeight="1">
      <c r="B39" s="70" t="inlineStr">
        <is>
          <t>Noodle Bar</t>
        </is>
      </c>
      <c r="C39" s="17">
        <f>COUNTIFS('Historique commandes'!C3:C52,"Grab",'Historique commandes'!D3:D52,"Noodle Bar")</f>
        <v/>
      </c>
      <c r="D39" s="40">
        <f>IFERROR(AVERAGEIFS('Historique commandes'!E3:E52,'Historique commandes'!C3:C52,"Grab",'Historique commandes'!D3:D52,"Noodle Bar"),"-")</f>
        <v/>
      </c>
      <c r="E39" s="40">
        <f>IFERROR(ABS(AVERAGEIFS('Historique commandes'!F3:F52,'Historique commandes'!C3:C52,"Grab",'Historique commandes'!D3:D52,"Noodle Bar",'Historique commandes'!F3:F52,"&lt;0")),0)</f>
        <v/>
      </c>
      <c r="F39" s="71">
        <f>IFERROR(AVERAGEIFS('Historique commandes'!K3:K52,'Historique commandes'!C3:C52,"Grab",'Historique commandes'!D3:D52,"Noodle Bar"),"-")</f>
        <v/>
      </c>
      <c r="G39" s="67">
        <f>IF(C39=0,"— Jamais commandé",IF(E39&gt;=7,"⭐ Valeur excellente",IF(E39&gt;=5,"👍 Bon rapport qualité/prix","💸 Optimisation possible")))</f>
        <v/>
      </c>
    </row>
    <row r="40" ht="28" customHeight="1">
      <c r="B40" s="68" t="inlineStr">
        <is>
          <t>Pizza Hut</t>
        </is>
      </c>
      <c r="C40" s="14">
        <f>COUNTIFS('Historique commandes'!C3:C52,"Grab",'Historique commandes'!D3:D52,"Pizza Hut")</f>
        <v/>
      </c>
      <c r="D40" s="39">
        <f>IFERROR(AVERAGEIFS('Historique commandes'!E3:E52,'Historique commandes'!C3:C52,"Grab",'Historique commandes'!D3:D52,"Pizza Hut"),"-")</f>
        <v/>
      </c>
      <c r="E40" s="39">
        <f>IFERROR(ABS(AVERAGEIFS('Historique commandes'!F3:F52,'Historique commandes'!C3:C52,"Grab",'Historique commandes'!D3:D52,"Pizza Hut",'Historique commandes'!F3:F52,"&lt;0")),0)</f>
        <v/>
      </c>
      <c r="F40" s="69">
        <f>IFERROR(AVERAGEIFS('Historique commandes'!K3:K52,'Historique commandes'!C3:C52,"Grab",'Historique commandes'!D3:D52,"Pizza Hut"),"-")</f>
        <v/>
      </c>
      <c r="G40" s="66">
        <f>IF(C40=0,"— Jamais commandé",IF(E40&gt;=7,"⭐ Valeur excellente",IF(E40&gt;=5,"👍 Bon rapport qualité/prix","💸 Optimisation possible")))</f>
        <v/>
      </c>
    </row>
    <row r="41" ht="28" customHeight="1">
      <c r="B41" s="70" t="inlineStr">
        <is>
          <t>Burger King</t>
        </is>
      </c>
      <c r="C41" s="17">
        <f>COUNTIFS('Historique commandes'!C3:C52,"Grab",'Historique commandes'!D3:D52,"Burger King")</f>
        <v/>
      </c>
      <c r="D41" s="40">
        <f>IFERROR(AVERAGEIFS('Historique commandes'!E3:E52,'Historique commandes'!C3:C52,"Grab",'Historique commandes'!D3:D52,"Burger King"),"-")</f>
        <v/>
      </c>
      <c r="E41" s="40">
        <f>IFERROR(ABS(AVERAGEIFS('Historique commandes'!F3:F52,'Historique commandes'!C3:C52,"Grab",'Historique commandes'!D3:D52,"Burger King",'Historique commandes'!F3:F52,"&lt;0")),0)</f>
        <v/>
      </c>
      <c r="F41" s="71">
        <f>IFERROR(AVERAGEIFS('Historique commandes'!K3:K52,'Historique commandes'!C3:C52,"Grab",'Historique commandes'!D3:D52,"Burger King"),"-")</f>
        <v/>
      </c>
      <c r="G41" s="67">
        <f>IF(C41=0,"— Jamais commandé",IF(E41&gt;=7,"⭐ Valeur excellente",IF(E41&gt;=5,"👍 Bon rapport qualité/prix","💸 Optimisation possible")))</f>
        <v/>
      </c>
    </row>
    <row r="42" ht="28" customHeight="1">
      <c r="B42" s="68" t="inlineStr">
        <is>
          <t>Pad Thai</t>
        </is>
      </c>
      <c r="C42" s="14">
        <f>COUNTIFS('Historique commandes'!C3:C52,"Grab",'Historique commandes'!D3:D52,"Pad Thai")</f>
        <v/>
      </c>
      <c r="D42" s="39">
        <f>IFERROR(AVERAGEIFS('Historique commandes'!E3:E52,'Historique commandes'!C3:C52,"Grab",'Historique commandes'!D3:D52,"Pad Thai"),"-")</f>
        <v/>
      </c>
      <c r="E42" s="39">
        <f>IFERROR(ABS(AVERAGEIFS('Historique commandes'!F3:F52,'Historique commandes'!C3:C52,"Grab",'Historique commandes'!D3:D52,"Pad Thai",'Historique commandes'!F3:F52,"&lt;0")),0)</f>
        <v/>
      </c>
      <c r="F42" s="69">
        <f>IFERROR(AVERAGEIFS('Historique commandes'!K3:K52,'Historique commandes'!C3:C52,"Grab",'Historique commandes'!D3:D52,"Pad Thai"),"-")</f>
        <v/>
      </c>
      <c r="G42" s="66">
        <f>IF(C42=0,"— Jamais commandé",IF(E42&gt;=7,"⭐ Valeur excellente",IF(E42&gt;=5,"👍 Bon rapport qualité/prix","💸 Optimisation possible")))</f>
        <v/>
      </c>
    </row>
    <row r="43" ht="28" customHeight="1">
      <c r="B43" s="70" t="inlineStr">
        <is>
          <t>Dim Sum Express</t>
        </is>
      </c>
      <c r="C43" s="17">
        <f>COUNTIFS('Historique commandes'!C3:C52,"Grab",'Historique commandes'!D3:D52,"Dim Sum Express")</f>
        <v/>
      </c>
      <c r="D43" s="40">
        <f>IFERROR(AVERAGEIFS('Historique commandes'!E3:E52,'Historique commandes'!C3:C52,"Grab",'Historique commandes'!D3:D52,"Dim Sum Express"),"-")</f>
        <v/>
      </c>
      <c r="E43" s="40">
        <f>IFERROR(ABS(AVERAGEIFS('Historique commandes'!F3:F52,'Historique commandes'!C3:C52,"Grab",'Historique commandes'!D3:D52,"Dim Sum Express",'Historique commandes'!F3:F52,"&lt;0")),0)</f>
        <v/>
      </c>
      <c r="F43" s="71">
        <f>IFERROR(AVERAGEIFS('Historique commandes'!K3:K52,'Historique commandes'!C3:C52,"Grab",'Historique commandes'!D3:D52,"Dim Sum Express"),"-")</f>
        <v/>
      </c>
      <c r="G43" s="67">
        <f>IF(C43=0,"— Jamais commandé",IF(E43&gt;=7,"⭐ Valeur excellente",IF(E43&gt;=5,"👍 Bon rapport qualité/prix","💸 Optimisation possible")))</f>
        <v/>
      </c>
    </row>
    <row r="45" ht="14" customHeight="1"/>
    <row r="46" ht="28" customHeight="1">
      <c r="B46" s="51" t="inlineStr">
        <is>
          <t xml:space="preserve">  DOIS-JE COMMANDER MAINTENANT ?</t>
        </is>
      </c>
    </row>
    <row r="47" ht="34" customHeight="1">
      <c r="B47" s="72" t="inlineStr">
        <is>
          <t>Heure actuelle (HH:MM)</t>
        </is>
      </c>
      <c r="C47" s="6" t="n"/>
      <c r="D47" s="73">
        <f>TEXT(NOW(),"HH:MM")</f>
        <v/>
      </c>
      <c r="E47" s="6" t="n"/>
      <c r="F47" s="23" t="n"/>
    </row>
    <row r="48" ht="42" customHeight="1">
      <c r="B48" s="52" t="inlineStr">
        <is>
          <t>Promos disponibles aujourd'hui</t>
        </is>
      </c>
      <c r="C48" s="6" t="n"/>
      <c r="D48" s="74">
        <f>COUNTIFS('Suivi promotions'!A3:A40,"Grab",'Suivi promotions'!G3:G40,"Non",'Suivi promotions'!F3:F40,"&gt;="&amp;TODAY())&amp;" promo(s) Grab active(s)"</f>
        <v/>
      </c>
      <c r="E48" s="5" t="n"/>
      <c r="F48" s="6" t="n"/>
    </row>
    <row r="49" ht="50" customHeight="1">
      <c r="B49" s="54" t="inlineStr">
        <is>
          <t>Recommandation globale</t>
        </is>
      </c>
      <c r="C49" s="6" t="n"/>
      <c r="D49" s="75">
        <f>IF(AND(VALUE(LEFT(D47,2))&gt;=11,VALUE(LEFT(D47,2))&lt;14,COUNTIFS('Suivi promotions'!A3:A40,"Grab",'Suivi promotions'!G3:G40,"Non",'Suivi promotions'!F3:F40,"&gt;="&amp;TODAY())&gt;0),"✅ Bon moment + promo dispo — Commander !",IF(AND(VALUE(LEFT(D47,2))&gt;=14,VALUE(LEFT(D47,2))&lt;17),"✅ Créneau Happy Hour potentiel — Vérifier promos",IF(OR(AND(VALUE(LEFT(D47,2))&gt;=12,VALUE(LEFT(D47,2))&lt;13),AND(VALUE(LEFT(D47,2))&gt;=19,VALUE(LEFT(D47,2))&lt;20)),"⚠️ Heure de pointe — Moins de promos, frais livraison plus élevés","🟡 Créneau neutre — Commander si nécessaire")))</f>
        <v/>
      </c>
      <c r="E49" s="5" t="n"/>
      <c r="F49" s="6" t="n"/>
    </row>
  </sheetData>
  <mergeCells count="27">
    <mergeCell ref="B2:G2"/>
    <mergeCell ref="E10:G10"/>
    <mergeCell ref="B47:C47"/>
    <mergeCell ref="B11:D11"/>
    <mergeCell ref="B14:G14"/>
    <mergeCell ref="B8:D8"/>
    <mergeCell ref="B1:G1"/>
    <mergeCell ref="D48:F48"/>
    <mergeCell ref="E9:G9"/>
    <mergeCell ref="E6:G6"/>
    <mergeCell ref="B10:D10"/>
    <mergeCell ref="B34:G34"/>
    <mergeCell ref="B48:C48"/>
    <mergeCell ref="E11:G11"/>
    <mergeCell ref="B9:D9"/>
    <mergeCell ref="E7:G7"/>
    <mergeCell ref="B6:D6"/>
    <mergeCell ref="D47:E47"/>
    <mergeCell ref="B5:D5"/>
    <mergeCell ref="B4:G4"/>
    <mergeCell ref="B7:D7"/>
    <mergeCell ref="B49:C49"/>
    <mergeCell ref="B25:G25"/>
    <mergeCell ref="B46:G46"/>
    <mergeCell ref="E5:G5"/>
    <mergeCell ref="E8:G8"/>
    <mergeCell ref="D49:F49"/>
  </mergeCells>
  <conditionalFormatting sqref="G16:G22">
    <cfRule type="colorScale" priority="1">
      <colorScale>
        <cfvo type="min"/>
        <cfvo type="percentile" val="50"/>
        <cfvo type="max"/>
        <color rgb="00E63946"/>
        <color rgb="00FFD700"/>
        <color rgb="0000B14F"/>
      </colorScale>
    </cfRule>
  </conditionalFormatting>
  <conditionalFormatting sqref="F36:F43">
    <cfRule type="colorScale" priority="2">
      <colorScale>
        <cfvo type="min"/>
        <cfvo type="percentile" val="50"/>
        <cfvo type="max"/>
        <color rgb="00E63946"/>
        <color rgb="00FFD700"/>
        <color rgb="0000B14F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4FBB"/>
    <outlinePr summaryBelow="1" summaryRight="1"/>
    <pageSetUpPr/>
  </sheetPr>
  <dimension ref="B1:H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1" ht="38" customHeight="1">
      <c r="B1" s="95" t="inlineStr">
        <is>
          <t>🔢 SIMULATEUR — SCÉNARIOS D'OPTIMISATION GRAB</t>
        </is>
      </c>
    </row>
    <row r="2" ht="18" customHeight="1">
      <c r="B2" s="2" t="inlineStr">
        <is>
          <t>Modifiez les cellules bleues pour simuler différentes combinaisons</t>
        </is>
      </c>
    </row>
    <row r="3" ht="10" customHeight="1"/>
    <row r="4" ht="28" customHeight="1">
      <c r="B4" s="87" t="inlineStr">
        <is>
          <t xml:space="preserve">  PARAMÈTRES DE BASE (modifier les valeurs bleues)</t>
        </is>
      </c>
    </row>
    <row r="5" ht="30" customHeight="1">
      <c r="B5" s="52" t="inlineStr">
        <is>
          <t>Panier moyen habituel (€)</t>
        </is>
      </c>
      <c r="C5" s="5" t="n"/>
      <c r="D5" s="6" t="n"/>
      <c r="E5" s="96" t="n">
        <v>20</v>
      </c>
      <c r="F5" s="6" t="n"/>
      <c r="G5" s="23" t="n"/>
      <c r="H5" s="23" t="n"/>
    </row>
    <row r="6" ht="30" customHeight="1">
      <c r="B6" s="52" t="inlineStr">
        <is>
          <t>Nb commandes par semaine</t>
        </is>
      </c>
      <c r="C6" s="5" t="n"/>
      <c r="D6" s="6" t="n"/>
      <c r="E6" s="97" t="n">
        <v>4</v>
      </c>
      <c r="F6" s="6" t="n"/>
      <c r="G6" s="23" t="n"/>
      <c r="H6" s="23" t="n"/>
    </row>
    <row r="7" ht="30" customHeight="1">
      <c r="B7" s="52" t="inlineStr">
        <is>
          <t>Frais livraison moyen sans abonnement (€)</t>
        </is>
      </c>
      <c r="C7" s="5" t="n"/>
      <c r="D7" s="6" t="n"/>
      <c r="E7" s="96" t="n">
        <v>2.5</v>
      </c>
      <c r="F7" s="6" t="n"/>
      <c r="G7" s="23" t="n"/>
      <c r="H7" s="23" t="n"/>
    </row>
    <row r="8" ht="30" customHeight="1">
      <c r="B8" s="52" t="inlineStr">
        <is>
          <t>Coût abonnement Grab Unlimited (€/mois)</t>
        </is>
      </c>
      <c r="C8" s="5" t="n"/>
      <c r="D8" s="6" t="n"/>
      <c r="E8" s="96" t="n">
        <v>5.99</v>
      </c>
      <c r="F8" s="6" t="n"/>
      <c r="G8" s="23" t="n"/>
      <c r="H8" s="23" t="n"/>
    </row>
    <row r="9" ht="30" customHeight="1">
      <c r="B9" s="52" t="inlineStr">
        <is>
          <t>Taux de réduction moyen avec promo (%)</t>
        </is>
      </c>
      <c r="C9" s="5" t="n"/>
      <c r="D9" s="6" t="n"/>
      <c r="E9" s="98" t="n">
        <v>0.15</v>
      </c>
      <c r="F9" s="6" t="n"/>
      <c r="G9" s="23" t="n"/>
      <c r="H9" s="23" t="n"/>
    </row>
    <row r="11" ht="14" customHeight="1"/>
    <row r="12" ht="28" customHeight="1">
      <c r="B12" s="87" t="inlineStr">
        <is>
          <t xml:space="preserve">  COMPARAISON DE 4 SCÉNARIOS SUR 1 MOIS</t>
        </is>
      </c>
    </row>
    <row r="13" ht="36" customHeight="1">
      <c r="B13" s="12" t="inlineStr">
        <is>
          <t>Indicateur</t>
        </is>
      </c>
      <c r="C13" s="99" t="inlineStr">
        <is>
          <t>Scénario 1
(Aucune optim.)</t>
        </is>
      </c>
      <c r="D13" s="100" t="inlineStr">
        <is>
          <t>Scénario 2
(Promos seulement)</t>
        </is>
      </c>
      <c r="E13" s="101" t="inlineStr">
        <is>
          <t>Scénario 3
(Abonnement seul)</t>
        </is>
      </c>
      <c r="F13" s="102" t="inlineStr">
        <is>
          <t>Scénario 4
(Promos + Abo)</t>
        </is>
      </c>
    </row>
    <row r="14" ht="32" customHeight="1">
      <c r="B14" s="103" t="inlineStr">
        <is>
          <t>Nb commandes / mois</t>
        </is>
      </c>
      <c r="C14" s="104">
        <f>ROUND(E6*4.33,0)</f>
        <v/>
      </c>
      <c r="D14" s="105">
        <f>ROUND(E6*4.33,0)</f>
        <v/>
      </c>
      <c r="E14" s="106">
        <f>ROUND(E6*4.33,0)</f>
        <v/>
      </c>
      <c r="F14" s="107">
        <f>ROUND(E6*4.33,0)</f>
        <v/>
      </c>
    </row>
    <row r="15" ht="32" customHeight="1">
      <c r="B15" s="108" t="inlineStr">
        <is>
          <t>Dépense panier brut (€)</t>
        </is>
      </c>
      <c r="C15" s="109">
        <f>ROUND(E5*E6*4.33,2)</f>
        <v/>
      </c>
      <c r="D15" s="110">
        <f>ROUND(E5*(1-E9)*E6*4.33,2)</f>
        <v/>
      </c>
      <c r="E15" s="111">
        <f>ROUND(E5*E6*4.33,2)</f>
        <v/>
      </c>
      <c r="F15" s="112">
        <f>ROUND(E5*(1-E9)*E6*4.33,2)</f>
        <v/>
      </c>
    </row>
    <row r="16" ht="32" customHeight="1">
      <c r="B16" s="113" t="inlineStr">
        <is>
          <t>Frais de livraison (€)</t>
        </is>
      </c>
      <c r="C16" s="109">
        <f>ROUND(E7*E6*4.33,2)</f>
        <v/>
      </c>
      <c r="D16" s="110">
        <f>ROUND(E7*E6*4.33,2)</f>
        <v/>
      </c>
      <c r="E16" s="111" t="inlineStr">
        <is>
          <t>0.00</t>
        </is>
      </c>
      <c r="F16" s="112" t="inlineStr">
        <is>
          <t>0.00</t>
        </is>
      </c>
    </row>
    <row r="17" ht="32" customHeight="1">
      <c r="B17" s="108" t="inlineStr">
        <is>
          <t>Coût abonnement (€)</t>
        </is>
      </c>
      <c r="C17" s="109" t="inlineStr">
        <is>
          <t>0.00</t>
        </is>
      </c>
      <c r="D17" s="110" t="inlineStr">
        <is>
          <t>0.00</t>
        </is>
      </c>
      <c r="E17" s="111">
        <f>E8</f>
        <v/>
      </c>
      <c r="F17" s="112">
        <f>E8</f>
        <v/>
      </c>
    </row>
    <row r="18" ht="32" customHeight="1">
      <c r="B18" s="93" t="inlineStr">
        <is>
          <t>TOTAL MENSUEL (€)</t>
        </is>
      </c>
      <c r="C18" s="114">
        <f>C15+C16+C17</f>
        <v/>
      </c>
      <c r="D18" s="115">
        <f>D15+D16+D17</f>
        <v/>
      </c>
      <c r="E18" s="116">
        <f>E15+E16+E17</f>
        <v/>
      </c>
      <c r="F18" s="117">
        <f>F15+F16+F17</f>
        <v/>
      </c>
    </row>
    <row r="19" ht="32" customHeight="1">
      <c r="B19" s="108" t="inlineStr">
        <is>
          <t>Économie vs Scénario 1 (€)</t>
        </is>
      </c>
      <c r="C19" s="99" t="inlineStr">
        <is>
          <t>—</t>
        </is>
      </c>
      <c r="D19" s="118">
        <f>C18-D18</f>
        <v/>
      </c>
      <c r="E19" s="119">
        <f>C18-E18</f>
        <v/>
      </c>
      <c r="F19" s="120">
        <f>C18-F18</f>
        <v/>
      </c>
    </row>
    <row r="20" ht="32" customHeight="1">
      <c r="B20" s="121" t="inlineStr">
        <is>
          <t>Économie vs Scénario 1 (%)</t>
        </is>
      </c>
      <c r="C20" s="122" t="inlineStr">
        <is>
          <t>—</t>
        </is>
      </c>
      <c r="D20" s="123">
        <f>IFERROR((C18-D18)/C18,0)</f>
        <v/>
      </c>
      <c r="E20" s="124">
        <f>IFERROR((C18-E18)/C18,0)</f>
        <v/>
      </c>
      <c r="F20" s="125">
        <f>IFERROR((C18-F18)/C18,0)</f>
        <v/>
      </c>
    </row>
    <row r="21" ht="32" customHeight="1">
      <c r="B21" s="108" t="inlineStr">
        <is>
          <t>Coût par commande (€)</t>
        </is>
      </c>
      <c r="C21" s="109">
        <f>IFERROR(C18/C14,0)</f>
        <v/>
      </c>
      <c r="D21" s="110">
        <f>IFERROR(D18/D14,0)</f>
        <v/>
      </c>
      <c r="E21" s="111">
        <f>IFERROR(E18/E14,0)</f>
        <v/>
      </c>
      <c r="F21" s="112">
        <f>IFERROR(F18/F14,0)</f>
        <v/>
      </c>
    </row>
    <row r="23" ht="14" customHeight="1"/>
    <row r="24" ht="28" customHeight="1">
      <c r="B24" s="87" t="inlineStr">
        <is>
          <t xml:space="preserve">  SIMULATEUR UNE COMMANDE — OPTIMISATION EN TEMPS RÉEL</t>
        </is>
      </c>
    </row>
    <row r="25" ht="30" customHeight="1">
      <c r="B25" s="52" t="inlineStr">
        <is>
          <t>Montant du panier (€)</t>
        </is>
      </c>
      <c r="C25" s="5" t="n"/>
      <c r="D25" s="6" t="n"/>
      <c r="E25" s="96" t="n">
        <v>22</v>
      </c>
      <c r="F25" s="6" t="n"/>
      <c r="G25" s="126" t="inlineStr">
        <is>
          <t>← modifier</t>
        </is>
      </c>
      <c r="H25" s="23" t="n"/>
    </row>
    <row r="26" ht="30" customHeight="1">
      <c r="B26" s="54" t="inlineStr">
        <is>
          <t>Frais livraison (€)</t>
        </is>
      </c>
      <c r="C26" s="5" t="n"/>
      <c r="D26" s="6" t="n"/>
      <c r="E26" s="96" t="n">
        <v>2.5</v>
      </c>
      <c r="F26" s="6" t="n"/>
      <c r="G26" s="126" t="inlineStr">
        <is>
          <t>← modifier</t>
        </is>
      </c>
      <c r="H26" s="23" t="n"/>
    </row>
    <row r="27" ht="30" customHeight="1">
      <c r="B27" s="52" t="inlineStr">
        <is>
          <t>Taux de réduction promo (%)</t>
        </is>
      </c>
      <c r="C27" s="5" t="n"/>
      <c r="D27" s="6" t="n"/>
      <c r="E27" s="98" t="n">
        <v>0.15</v>
      </c>
      <c r="F27" s="6" t="n"/>
      <c r="G27" s="126" t="inlineStr">
        <is>
          <t>← modifier</t>
        </is>
      </c>
      <c r="H27" s="23" t="n"/>
    </row>
    <row r="28" ht="30" customHeight="1">
      <c r="B28" s="54" t="inlineStr">
        <is>
          <t>Livraison gratuite ? (1=oui, 0=non)</t>
        </is>
      </c>
      <c r="C28" s="5" t="n"/>
      <c r="D28" s="6" t="n"/>
      <c r="E28" s="97" t="n">
        <v>0</v>
      </c>
      <c r="F28" s="6" t="n"/>
      <c r="G28" s="126" t="inlineStr">
        <is>
          <t>← modifier</t>
        </is>
      </c>
      <c r="H28" s="23" t="n"/>
    </row>
    <row r="29" ht="30" customHeight="1">
      <c r="B29" s="52" t="inlineStr">
        <is>
          <t>Abonnement actif ? (1=oui, 0=non)</t>
        </is>
      </c>
      <c r="C29" s="5" t="n"/>
      <c r="D29" s="6" t="n"/>
      <c r="E29" s="97" t="n">
        <v>0</v>
      </c>
      <c r="F29" s="6" t="n"/>
      <c r="G29" s="126" t="inlineStr">
        <is>
          <t>← modifier</t>
        </is>
      </c>
      <c r="H29" s="23" t="n"/>
    </row>
    <row r="31" ht="32" customHeight="1">
      <c r="B31" s="52" t="inlineStr">
        <is>
          <t>Prix sans optimisation (€)</t>
        </is>
      </c>
      <c r="C31" s="5" t="n"/>
      <c r="D31" s="6" t="n"/>
      <c r="E31" s="127">
        <f>E25+E26</f>
        <v/>
      </c>
      <c r="F31" s="5" t="n"/>
      <c r="G31" s="5" t="n"/>
      <c r="H31" s="6" t="n"/>
    </row>
    <row r="32" ht="32" customHeight="1">
      <c r="B32" s="54" t="inlineStr">
        <is>
          <t>Prix avec promo seule (€)</t>
        </is>
      </c>
      <c r="C32" s="5" t="n"/>
      <c r="D32" s="6" t="n"/>
      <c r="E32" s="128">
        <f>E25*(1-E27)+E26</f>
        <v/>
      </c>
      <c r="F32" s="5" t="n"/>
      <c r="G32" s="5" t="n"/>
      <c r="H32" s="6" t="n"/>
    </row>
    <row r="33" ht="32" customHeight="1">
      <c r="B33" s="52" t="inlineStr">
        <is>
          <t>Prix avec livraison gratuite (€)</t>
        </is>
      </c>
      <c r="C33" s="5" t="n"/>
      <c r="D33" s="6" t="n"/>
      <c r="E33" s="129">
        <f>E25*(1-E27)+E26*(1-E28)</f>
        <v/>
      </c>
      <c r="F33" s="5" t="n"/>
      <c r="G33" s="5" t="n"/>
      <c r="H33" s="6" t="n"/>
    </row>
    <row r="34" ht="32" customHeight="1">
      <c r="B34" s="130" t="inlineStr">
        <is>
          <t>Prix optimisé complet (€)</t>
        </is>
      </c>
      <c r="C34" s="5" t="n"/>
      <c r="D34" s="6" t="n"/>
      <c r="E34" s="131">
        <f>E25*(1-E27)+E26*(1-MAX(E28,E29))</f>
        <v/>
      </c>
      <c r="F34" s="5" t="n"/>
      <c r="G34" s="5" t="n"/>
      <c r="H34" s="6" t="n"/>
    </row>
    <row r="35" ht="32" customHeight="1">
      <c r="B35" s="132" t="inlineStr">
        <is>
          <t>Économie réalisée (€)</t>
        </is>
      </c>
      <c r="C35" s="5" t="n"/>
      <c r="D35" s="6" t="n"/>
      <c r="E35" s="133">
        <f>E31-E34</f>
        <v/>
      </c>
      <c r="F35" s="5" t="n"/>
      <c r="G35" s="5" t="n"/>
      <c r="H35" s="6" t="n"/>
    </row>
    <row r="36" ht="32" customHeight="1">
      <c r="B36" s="130" t="inlineStr">
        <is>
          <t>Économie (%)</t>
        </is>
      </c>
      <c r="C36" s="5" t="n"/>
      <c r="D36" s="6" t="n"/>
      <c r="E36" s="134">
        <f>IFERROR((E31-E34)/E31,0)</f>
        <v/>
      </c>
      <c r="F36" s="5" t="n"/>
      <c r="G36" s="5" t="n"/>
      <c r="H36" s="6" t="n"/>
    </row>
  </sheetData>
  <mergeCells count="37">
    <mergeCell ref="B8:D8"/>
    <mergeCell ref="E5:F5"/>
    <mergeCell ref="B24:H24"/>
    <mergeCell ref="B29:D29"/>
    <mergeCell ref="E32:H32"/>
    <mergeCell ref="E8:F8"/>
    <mergeCell ref="B34:D34"/>
    <mergeCell ref="B28:D28"/>
    <mergeCell ref="E29:F29"/>
    <mergeCell ref="B4:H4"/>
    <mergeCell ref="B9:D9"/>
    <mergeCell ref="E28:F28"/>
    <mergeCell ref="E33:H33"/>
    <mergeCell ref="E9:F9"/>
    <mergeCell ref="B6:D6"/>
    <mergeCell ref="B33:D33"/>
    <mergeCell ref="B5:D5"/>
    <mergeCell ref="E6:F6"/>
    <mergeCell ref="B36:D36"/>
    <mergeCell ref="E35:H35"/>
    <mergeCell ref="B32:D32"/>
    <mergeCell ref="B12:H12"/>
    <mergeCell ref="B35:D35"/>
    <mergeCell ref="B26:D26"/>
    <mergeCell ref="E27:F27"/>
    <mergeCell ref="B2:H2"/>
    <mergeCell ref="E26:F26"/>
    <mergeCell ref="B25:D25"/>
    <mergeCell ref="B7:D7"/>
    <mergeCell ref="E31:H31"/>
    <mergeCell ref="B1:H1"/>
    <mergeCell ref="E7:F7"/>
    <mergeCell ref="E25:F25"/>
    <mergeCell ref="B31:D31"/>
    <mergeCell ref="E34:H34"/>
    <mergeCell ref="B27:D27"/>
    <mergeCell ref="E36:H36"/>
  </mergeCells>
  <conditionalFormatting sqref="C18">
    <cfRule type="expression" priority="1" dxfId="9">
      <formula>=C18=MIN(C18:F18)</formula>
    </cfRule>
  </conditionalFormatting>
  <conditionalFormatting sqref="D18">
    <cfRule type="expression" priority="2" dxfId="9">
      <formula>=D18=MIN(C18:F18)</formula>
    </cfRule>
  </conditionalFormatting>
  <conditionalFormatting sqref="E18">
    <cfRule type="expression" priority="3" dxfId="9">
      <formula>=E18=MIN(C18:F18)</formula>
    </cfRule>
  </conditionalFormatting>
  <conditionalFormatting sqref="F18">
    <cfRule type="expression" priority="4" dxfId="9">
      <formula>=F18=MIN(C18:F18)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48A81"/>
    <outlinePr summaryBelow="1" summaryRight="1"/>
    <pageSetUpPr/>
  </sheetPr>
  <dimension ref="A1:M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22" customWidth="1" min="4" max="4"/>
    <col width="17" customWidth="1" min="5" max="5"/>
    <col width="14" customWidth="1" min="6" max="6"/>
    <col width="18" customWidth="1" min="7" max="7"/>
    <col width="15" customWidth="1" min="8" max="8"/>
    <col width="15" customWidth="1" min="9" max="9"/>
    <col width="22" customWidth="1" min="10" max="10"/>
    <col width="16" customWidth="1" min="11" max="11"/>
    <col width="20" customWidth="1" min="12" max="12"/>
    <col width="12" customWidth="1" min="13" max="13"/>
  </cols>
  <sheetData>
    <row r="1" ht="32" customHeight="1">
      <c r="A1" s="25" t="inlineStr">
        <is>
          <t>📦 HISTORIQUE DES COMMANDES</t>
        </is>
      </c>
    </row>
    <row r="2" ht="30" customHeight="1">
      <c r="A2" s="12" t="inlineStr">
        <is>
          <t>Date</t>
        </is>
      </c>
      <c r="B2" s="12" t="inlineStr">
        <is>
          <t>Jour</t>
        </is>
      </c>
      <c r="C2" s="12" t="inlineStr">
        <is>
          <t>Plateforme</t>
        </is>
      </c>
      <c r="D2" s="12" t="inlineStr">
        <is>
          <t>Restaurant</t>
        </is>
      </c>
      <c r="E2" s="12" t="inlineStr">
        <is>
          <t>Montant brut (€)</t>
        </is>
      </c>
      <c r="F2" s="12" t="inlineStr">
        <is>
          <t>Réduction (€)</t>
        </is>
      </c>
      <c r="G2" s="12" t="inlineStr">
        <is>
          <t>Frais livraison (€)</t>
        </is>
      </c>
      <c r="H2" s="12" t="inlineStr">
        <is>
          <t>Total payé (€)</t>
        </is>
      </c>
      <c r="I2" s="12" t="inlineStr">
        <is>
          <t>Code promo</t>
        </is>
      </c>
      <c r="J2" s="12" t="inlineStr">
        <is>
          <t>Notes</t>
        </is>
      </c>
      <c r="K2" s="12" t="inlineStr">
        <is>
          <t>Score optim. /10</t>
        </is>
      </c>
      <c r="L2" s="12" t="inlineStr">
        <is>
          <t>Verdict</t>
        </is>
      </c>
      <c r="M2" s="12" t="inlineStr">
        <is>
          <t>Heure commande</t>
        </is>
      </c>
    </row>
    <row r="3" ht="22" customHeight="1">
      <c r="A3" s="26" t="inlineStr">
        <is>
          <t>2026-04-07</t>
        </is>
      </c>
      <c r="B3" s="26" t="inlineStr">
        <is>
          <t>Lun</t>
        </is>
      </c>
      <c r="C3" s="26" t="inlineStr">
        <is>
          <t>Grab</t>
        </is>
      </c>
      <c r="D3" s="27" t="inlineStr">
        <is>
          <t>KFC</t>
        </is>
      </c>
      <c r="E3" s="43" t="n">
        <v>18</v>
      </c>
      <c r="F3" s="43" t="n">
        <v>-2.7</v>
      </c>
      <c r="G3" s="43" t="n">
        <v>0</v>
      </c>
      <c r="H3" s="43">
        <f>E3+F3+G3</f>
        <v/>
      </c>
      <c r="I3" s="26" t="inlineStr">
        <is>
          <t>GRAB15</t>
        </is>
      </c>
      <c r="J3" s="26" t="inlineStr">
        <is>
          <t>Livraison offerte atteinte</t>
        </is>
      </c>
      <c r="K3" s="44">
        <f>IF(E3="","",MIN(10,IF(F3&lt;0,3,0)+IF(G3=0,2,0)+IF(I3&lt;&gt;"",2,0)+IF(H3&lt;AVERAGE('Historique commandes'!H3:H52)*0.9,2,0)+IF(OR(ISNUMBER(SEARCH("h",J3)),J3&lt;&gt;""),1,0)))</f>
        <v/>
      </c>
      <c r="L3" s="45">
        <f>IF(K3="","",IF(K3&gt;=8,"🟢 Excellent",IF(K3&gt;=5,"🟡 Correct","🔴 À améliorer")))</f>
        <v/>
      </c>
      <c r="M3" s="76" t="inlineStr">
        <is>
          <t>12:30</t>
        </is>
      </c>
    </row>
    <row r="4">
      <c r="A4" s="29" t="inlineStr">
        <is>
          <t>2026-04-08</t>
        </is>
      </c>
      <c r="B4" s="29" t="inlineStr">
        <is>
          <t>Mar</t>
        </is>
      </c>
      <c r="C4" s="29" t="inlineStr">
        <is>
          <t>Wolt</t>
        </is>
      </c>
      <c r="D4" s="30" t="inlineStr">
        <is>
          <t>Burger King</t>
        </is>
      </c>
      <c r="E4" s="46" t="n">
        <v>15.5</v>
      </c>
      <c r="F4" s="46" t="n">
        <v>0</v>
      </c>
      <c r="G4" s="46" t="n">
        <v>1.99</v>
      </c>
      <c r="H4" s="46">
        <f>E4+F4+G4</f>
        <v/>
      </c>
      <c r="I4" s="29" t="inlineStr"/>
      <c r="J4" s="29" t="inlineStr"/>
      <c r="K4" s="47">
        <f>IF(E4="","",MIN(10,IF(F4&lt;0,3,0)+IF(G4=0,2,0)+IF(I4&lt;&gt;"",2,0)+IF(H4&lt;AVERAGE('Historique commandes'!H3:H52)*0.9,2,0)+IF(OR(ISNUMBER(SEARCH("h",J4)),J4&lt;&gt;""),1,0)))</f>
        <v/>
      </c>
      <c r="L4" s="48">
        <f>IF(K4="","",IF(K4&gt;=8,"🟢 Excellent",IF(K4&gt;=5,"🟡 Correct","🔴 À améliorer")))</f>
        <v/>
      </c>
      <c r="M4" s="66" t="n"/>
    </row>
    <row r="5">
      <c r="A5" s="26" t="inlineStr">
        <is>
          <t>2026-04-09</t>
        </is>
      </c>
      <c r="B5" s="26" t="inlineStr">
        <is>
          <t>Mer</t>
        </is>
      </c>
      <c r="C5" s="26" t="inlineStr">
        <is>
          <t>Grab</t>
        </is>
      </c>
      <c r="D5" s="27" t="inlineStr">
        <is>
          <t>Sushi House</t>
        </is>
      </c>
      <c r="E5" s="43" t="n">
        <v>22</v>
      </c>
      <c r="F5" s="43" t="n">
        <v>-4.4</v>
      </c>
      <c r="G5" s="43" t="n">
        <v>0</v>
      </c>
      <c r="H5" s="43">
        <f>E5+F5+G5</f>
        <v/>
      </c>
      <c r="I5" s="26" t="inlineStr">
        <is>
          <t>SUSHI20</t>
        </is>
      </c>
      <c r="J5" s="26" t="inlineStr">
        <is>
          <t>-20% restaurant partenaire</t>
        </is>
      </c>
      <c r="K5" s="44">
        <f>IF(E5="","",MIN(10,IF(F5&lt;0,3,0)+IF(G5=0,2,0)+IF(I5&lt;&gt;"",2,0)+IF(H5&lt;AVERAGE('Historique commandes'!H3:H52)*0.9,2,0)+IF(OR(ISNUMBER(SEARCH("h",J5)),J5&lt;&gt;""),1,0)))</f>
        <v/>
      </c>
      <c r="L5" s="45">
        <f>IF(K5="","",IF(K5&gt;=8,"🟢 Excellent",IF(K5&gt;=5,"🟡 Correct","🔴 À améliorer")))</f>
        <v/>
      </c>
      <c r="M5" s="76" t="inlineStr">
        <is>
          <t>13:00</t>
        </is>
      </c>
    </row>
    <row r="6">
      <c r="A6" s="29" t="inlineStr">
        <is>
          <t>2026-04-10</t>
        </is>
      </c>
      <c r="B6" s="29" t="inlineStr">
        <is>
          <t>Jeu</t>
        </is>
      </c>
      <c r="C6" s="29" t="inlineStr">
        <is>
          <t>Wolt</t>
        </is>
      </c>
      <c r="D6" s="30" t="inlineStr">
        <is>
          <t>Pizza Palace</t>
        </is>
      </c>
      <c r="E6" s="46" t="n">
        <v>14</v>
      </c>
      <c r="F6" s="46" t="n">
        <v>0</v>
      </c>
      <c r="G6" s="46" t="n">
        <v>2.5</v>
      </c>
      <c r="H6" s="46">
        <f>E6+F6+G6</f>
        <v/>
      </c>
      <c r="I6" s="29" t="inlineStr"/>
      <c r="J6" s="29" t="inlineStr"/>
      <c r="K6" s="47">
        <f>IF(E6="","",MIN(10,IF(F6&lt;0,3,0)+IF(G6=0,2,0)+IF(I6&lt;&gt;"",2,0)+IF(H6&lt;AVERAGE('Historique commandes'!H3:H52)*0.9,2,0)+IF(OR(ISNUMBER(SEARCH("h",J6)),J6&lt;&gt;""),1,0)))</f>
        <v/>
      </c>
      <c r="L6" s="48">
        <f>IF(K6="","",IF(K6&gt;=8,"🟢 Excellent",IF(K6&gt;=5,"🟡 Correct","🔴 À améliorer")))</f>
        <v/>
      </c>
      <c r="M6" s="66" t="n"/>
    </row>
    <row r="7">
      <c r="A7" s="26" t="inlineStr">
        <is>
          <t>2026-04-11</t>
        </is>
      </c>
      <c r="B7" s="26" t="inlineStr">
        <is>
          <t>Ven</t>
        </is>
      </c>
      <c r="C7" s="26" t="inlineStr">
        <is>
          <t>Grab</t>
        </is>
      </c>
      <c r="D7" s="27" t="inlineStr">
        <is>
          <t>Noodle Bar</t>
        </is>
      </c>
      <c r="E7" s="43" t="n">
        <v>19.5</v>
      </c>
      <c r="F7" s="43" t="n">
        <v>-3.9</v>
      </c>
      <c r="G7" s="43" t="n">
        <v>0</v>
      </c>
      <c r="H7" s="43">
        <f>E7+F7+G7</f>
        <v/>
      </c>
      <c r="I7" s="26" t="inlineStr">
        <is>
          <t>GRABVIP</t>
        </is>
      </c>
      <c r="J7" s="26" t="inlineStr"/>
      <c r="K7" s="44">
        <f>IF(E7="","",MIN(10,IF(F7&lt;0,3,0)+IF(G7=0,2,0)+IF(I7&lt;&gt;"",2,0)+IF(H7&lt;AVERAGE('Historique commandes'!H3:H52)*0.9,2,0)+IF(OR(ISNUMBER(SEARCH("h",J7)),J7&lt;&gt;""),1,0)))</f>
        <v/>
      </c>
      <c r="L7" s="45">
        <f>IF(K7="","",IF(K7&gt;=8,"🟢 Excellent",IF(K7&gt;=5,"🟡 Correct","🔴 À améliorer")))</f>
        <v/>
      </c>
      <c r="M7" s="76" t="inlineStr">
        <is>
          <t>19:45</t>
        </is>
      </c>
    </row>
    <row r="8">
      <c r="A8" s="29" t="inlineStr">
        <is>
          <t>2026-04-12</t>
        </is>
      </c>
      <c r="B8" s="29" t="inlineStr">
        <is>
          <t>Sam</t>
        </is>
      </c>
      <c r="C8" s="29" t="inlineStr">
        <is>
          <t>Wolt</t>
        </is>
      </c>
      <c r="D8" s="30" t="inlineStr">
        <is>
          <t>Thai Express</t>
        </is>
      </c>
      <c r="E8" s="46" t="n">
        <v>16</v>
      </c>
      <c r="F8" s="46" t="n">
        <v>-3.2</v>
      </c>
      <c r="G8" s="46" t="n">
        <v>0</v>
      </c>
      <c r="H8" s="46">
        <f>E8+F8+G8</f>
        <v/>
      </c>
      <c r="I8" s="29" t="inlineStr">
        <is>
          <t>WOLT20</t>
        </is>
      </c>
      <c r="J8" s="29" t="inlineStr">
        <is>
          <t>Happy Hour</t>
        </is>
      </c>
      <c r="K8" s="47">
        <f>IF(E8="","",MIN(10,IF(F8&lt;0,3,0)+IF(G8=0,2,0)+IF(I8&lt;&gt;"",2,0)+IF(H8&lt;AVERAGE('Historique commandes'!H3:H52)*0.9,2,0)+IF(OR(ISNUMBER(SEARCH("h",J8)),J8&lt;&gt;""),1,0)))</f>
        <v/>
      </c>
      <c r="L8" s="48">
        <f>IF(K8="","",IF(K8&gt;=8,"🟢 Excellent",IF(K8&gt;=5,"🟡 Correct","🔴 À améliorer")))</f>
        <v/>
      </c>
      <c r="M8" s="66" t="inlineStr">
        <is>
          <t>14:15</t>
        </is>
      </c>
    </row>
    <row r="9">
      <c r="A9" s="26" t="inlineStr">
        <is>
          <t>2026-04-13</t>
        </is>
      </c>
      <c r="B9" s="26" t="inlineStr">
        <is>
          <t>Dim</t>
        </is>
      </c>
      <c r="C9" s="26" t="inlineStr">
        <is>
          <t>Grab</t>
        </is>
      </c>
      <c r="D9" s="27" t="inlineStr">
        <is>
          <t>McDo</t>
        </is>
      </c>
      <c r="E9" s="43" t="n">
        <v>12</v>
      </c>
      <c r="F9" s="43" t="n">
        <v>0</v>
      </c>
      <c r="G9" s="43" t="n">
        <v>2.5</v>
      </c>
      <c r="H9" s="43">
        <f>E9+F9+G9</f>
        <v/>
      </c>
      <c r="I9" s="26" t="inlineStr"/>
      <c r="J9" s="26" t="inlineStr">
        <is>
          <t>Commande rapide</t>
        </is>
      </c>
      <c r="K9" s="44">
        <f>IF(E9="","",MIN(10,IF(F9&lt;0,3,0)+IF(G9=0,2,0)+IF(I9&lt;&gt;"",2,0)+IF(H9&lt;AVERAGE('Historique commandes'!H3:H52)*0.9,2,0)+IF(OR(ISNUMBER(SEARCH("h",J9)),J9&lt;&gt;""),1,0)))</f>
        <v/>
      </c>
      <c r="L9" s="45">
        <f>IF(K9="","",IF(K9&gt;=8,"🟢 Excellent",IF(K9&gt;=5,"🟡 Correct","🔴 À améliorer")))</f>
        <v/>
      </c>
      <c r="M9" s="76" t="inlineStr">
        <is>
          <t>20:10</t>
        </is>
      </c>
    </row>
    <row r="10">
      <c r="A10" s="29" t="n"/>
      <c r="B10" s="29" t="n"/>
      <c r="C10" s="29" t="n"/>
      <c r="D10" s="29" t="n"/>
      <c r="E10" s="46" t="n"/>
      <c r="F10" s="46" t="n"/>
      <c r="G10" s="46" t="n"/>
      <c r="H10" s="46">
        <f>IF(E10="","",E10+F10+G10)</f>
        <v/>
      </c>
      <c r="I10" s="29" t="n"/>
      <c r="J10" s="29" t="n"/>
      <c r="K10" s="47">
        <f>IF(E10="","",MIN(10,IF(F10&lt;0,3,0)+IF(G10=0,2,0)+IF(I10&lt;&gt;"",2,0)+IF(H10&lt;AVERAGE('Historique commandes'!H3:H52)*0.9,2,0)+IF(OR(ISNUMBER(SEARCH("h",J10)),J10&lt;&gt;""),1,0)))</f>
        <v/>
      </c>
      <c r="L10" s="48">
        <f>IF(K10="","",IF(K10&gt;=8,"🟢 Excellent",IF(K10&gt;=5,"🟡 Correct","🔴 À améliorer")))</f>
        <v/>
      </c>
      <c r="M10" s="66" t="n"/>
    </row>
    <row r="11">
      <c r="A11" s="26" t="n"/>
      <c r="B11" s="26" t="n"/>
      <c r="C11" s="26" t="n"/>
      <c r="D11" s="26" t="n"/>
      <c r="E11" s="43" t="n"/>
      <c r="F11" s="43" t="n"/>
      <c r="G11" s="43" t="n"/>
      <c r="H11" s="43">
        <f>IF(E11="","",E11+F11+G11)</f>
        <v/>
      </c>
      <c r="I11" s="26" t="n"/>
      <c r="J11" s="26" t="n"/>
      <c r="K11" s="44">
        <f>IF(E11="","",MIN(10,IF(F11&lt;0,3,0)+IF(G11=0,2,0)+IF(I11&lt;&gt;"",2,0)+IF(H11&lt;AVERAGE('Historique commandes'!H3:H52)*0.9,2,0)+IF(OR(ISNUMBER(SEARCH("h",J11)),J11&lt;&gt;""),1,0)))</f>
        <v/>
      </c>
      <c r="L11" s="45">
        <f>IF(K11="","",IF(K11&gt;=8,"🟢 Excellent",IF(K11&gt;=5,"🟡 Correct","🔴 À améliorer")))</f>
        <v/>
      </c>
      <c r="M11" s="76" t="n"/>
    </row>
    <row r="12">
      <c r="A12" s="29" t="n"/>
      <c r="B12" s="29" t="n"/>
      <c r="C12" s="29" t="n"/>
      <c r="D12" s="29" t="n"/>
      <c r="E12" s="46" t="n"/>
      <c r="F12" s="46" t="n"/>
      <c r="G12" s="46" t="n"/>
      <c r="H12" s="46">
        <f>IF(E12="","",E12+F12+G12)</f>
        <v/>
      </c>
      <c r="I12" s="29" t="n"/>
      <c r="J12" s="29" t="n"/>
      <c r="K12" s="47">
        <f>IF(E12="","",MIN(10,IF(F12&lt;0,3,0)+IF(G12=0,2,0)+IF(I12&lt;&gt;"",2,0)+IF(H12&lt;AVERAGE('Historique commandes'!H3:H52)*0.9,2,0)+IF(OR(ISNUMBER(SEARCH("h",J12)),J12&lt;&gt;""),1,0)))</f>
        <v/>
      </c>
      <c r="L12" s="48">
        <f>IF(K12="","",IF(K12&gt;=8,"🟢 Excellent",IF(K12&gt;=5,"🟡 Correct","🔴 À améliorer")))</f>
        <v/>
      </c>
      <c r="M12" s="66" t="n"/>
    </row>
    <row r="13">
      <c r="A13" s="26" t="n"/>
      <c r="B13" s="26" t="n"/>
      <c r="C13" s="26" t="n"/>
      <c r="D13" s="26" t="n"/>
      <c r="E13" s="43" t="n"/>
      <c r="F13" s="43" t="n"/>
      <c r="G13" s="43" t="n"/>
      <c r="H13" s="43">
        <f>IF(E13="","",E13+F13+G13)</f>
        <v/>
      </c>
      <c r="I13" s="26" t="n"/>
      <c r="J13" s="26" t="n"/>
      <c r="K13" s="44">
        <f>IF(E13="","",MIN(10,IF(F13&lt;0,3,0)+IF(G13=0,2,0)+IF(I13&lt;&gt;"",2,0)+IF(H13&lt;AVERAGE('Historique commandes'!H3:H52)*0.9,2,0)+IF(OR(ISNUMBER(SEARCH("h",J13)),J13&lt;&gt;""),1,0)))</f>
        <v/>
      </c>
      <c r="L13" s="45">
        <f>IF(K13="","",IF(K13&gt;=8,"🟢 Excellent",IF(K13&gt;=5,"🟡 Correct","🔴 À améliorer")))</f>
        <v/>
      </c>
      <c r="M13" s="76" t="n"/>
    </row>
    <row r="14">
      <c r="A14" s="29" t="n"/>
      <c r="B14" s="29" t="n"/>
      <c r="C14" s="29" t="n"/>
      <c r="D14" s="29" t="n"/>
      <c r="E14" s="46" t="n"/>
      <c r="F14" s="46" t="n"/>
      <c r="G14" s="46" t="n"/>
      <c r="H14" s="46">
        <f>IF(E14="","",E14+F14+G14)</f>
        <v/>
      </c>
      <c r="I14" s="29" t="n"/>
      <c r="J14" s="29" t="n"/>
      <c r="K14" s="47">
        <f>IF(E14="","",MIN(10,IF(F14&lt;0,3,0)+IF(G14=0,2,0)+IF(I14&lt;&gt;"",2,0)+IF(H14&lt;AVERAGE('Historique commandes'!H3:H52)*0.9,2,0)+IF(OR(ISNUMBER(SEARCH("h",J14)),J14&lt;&gt;""),1,0)))</f>
        <v/>
      </c>
      <c r="L14" s="48">
        <f>IF(K14="","",IF(K14&gt;=8,"🟢 Excellent",IF(K14&gt;=5,"🟡 Correct","🔴 À améliorer")))</f>
        <v/>
      </c>
      <c r="M14" s="66" t="n"/>
    </row>
    <row r="15">
      <c r="A15" s="26" t="n"/>
      <c r="B15" s="26" t="n"/>
      <c r="C15" s="26" t="n"/>
      <c r="D15" s="26" t="n"/>
      <c r="E15" s="43" t="n"/>
      <c r="F15" s="43" t="n"/>
      <c r="G15" s="43" t="n"/>
      <c r="H15" s="43">
        <f>IF(E15="","",E15+F15+G15)</f>
        <v/>
      </c>
      <c r="I15" s="26" t="n"/>
      <c r="J15" s="26" t="n"/>
      <c r="K15" s="44">
        <f>IF(E15="","",MIN(10,IF(F15&lt;0,3,0)+IF(G15=0,2,0)+IF(I15&lt;&gt;"",2,0)+IF(H15&lt;AVERAGE('Historique commandes'!H3:H52)*0.9,2,0)+IF(OR(ISNUMBER(SEARCH("h",J15)),J15&lt;&gt;""),1,0)))</f>
        <v/>
      </c>
      <c r="L15" s="45">
        <f>IF(K15="","",IF(K15&gt;=8,"🟢 Excellent",IF(K15&gt;=5,"🟡 Correct","🔴 À améliorer")))</f>
        <v/>
      </c>
      <c r="M15" s="76" t="n"/>
    </row>
    <row r="16">
      <c r="A16" s="29" t="n"/>
      <c r="B16" s="29" t="n"/>
      <c r="C16" s="29" t="n"/>
      <c r="D16" s="29" t="n"/>
      <c r="E16" s="46" t="n"/>
      <c r="F16" s="46" t="n"/>
      <c r="G16" s="46" t="n"/>
      <c r="H16" s="46">
        <f>IF(E16="","",E16+F16+G16)</f>
        <v/>
      </c>
      <c r="I16" s="29" t="n"/>
      <c r="J16" s="29" t="n"/>
      <c r="K16" s="47">
        <f>IF(E16="","",MIN(10,IF(F16&lt;0,3,0)+IF(G16=0,2,0)+IF(I16&lt;&gt;"",2,0)+IF(H16&lt;AVERAGE('Historique commandes'!H3:H52)*0.9,2,0)+IF(OR(ISNUMBER(SEARCH("h",J16)),J16&lt;&gt;""),1,0)))</f>
        <v/>
      </c>
      <c r="L16" s="48">
        <f>IF(K16="","",IF(K16&gt;=8,"🟢 Excellent",IF(K16&gt;=5,"🟡 Correct","🔴 À améliorer")))</f>
        <v/>
      </c>
      <c r="M16" s="66" t="n"/>
    </row>
    <row r="17">
      <c r="A17" s="26" t="n"/>
      <c r="B17" s="26" t="n"/>
      <c r="C17" s="26" t="n"/>
      <c r="D17" s="26" t="n"/>
      <c r="E17" s="43" t="n"/>
      <c r="F17" s="43" t="n"/>
      <c r="G17" s="43" t="n"/>
      <c r="H17" s="43">
        <f>IF(E17="","",E17+F17+G17)</f>
        <v/>
      </c>
      <c r="I17" s="26" t="n"/>
      <c r="J17" s="26" t="n"/>
      <c r="K17" s="44">
        <f>IF(E17="","",MIN(10,IF(F17&lt;0,3,0)+IF(G17=0,2,0)+IF(I17&lt;&gt;"",2,0)+IF(H17&lt;AVERAGE('Historique commandes'!H3:H52)*0.9,2,0)+IF(OR(ISNUMBER(SEARCH("h",J17)),J17&lt;&gt;""),1,0)))</f>
        <v/>
      </c>
      <c r="L17" s="45">
        <f>IF(K17="","",IF(K17&gt;=8,"🟢 Excellent",IF(K17&gt;=5,"🟡 Correct","🔴 À améliorer")))</f>
        <v/>
      </c>
      <c r="M17" s="76" t="n"/>
    </row>
    <row r="18">
      <c r="A18" s="29" t="n"/>
      <c r="B18" s="29" t="n"/>
      <c r="C18" s="29" t="n"/>
      <c r="D18" s="29" t="n"/>
      <c r="E18" s="46" t="n"/>
      <c r="F18" s="46" t="n"/>
      <c r="G18" s="46" t="n"/>
      <c r="H18" s="46">
        <f>IF(E18="","",E18+F18+G18)</f>
        <v/>
      </c>
      <c r="I18" s="29" t="n"/>
      <c r="J18" s="29" t="n"/>
      <c r="K18" s="47">
        <f>IF(E18="","",MIN(10,IF(F18&lt;0,3,0)+IF(G18=0,2,0)+IF(I18&lt;&gt;"",2,0)+IF(H18&lt;AVERAGE('Historique commandes'!H3:H52)*0.9,2,0)+IF(OR(ISNUMBER(SEARCH("h",J18)),J18&lt;&gt;""),1,0)))</f>
        <v/>
      </c>
      <c r="L18" s="48">
        <f>IF(K18="","",IF(K18&gt;=8,"🟢 Excellent",IF(K18&gt;=5,"🟡 Correct","🔴 À améliorer")))</f>
        <v/>
      </c>
      <c r="M18" s="66" t="n"/>
    </row>
    <row r="19">
      <c r="A19" s="26" t="n"/>
      <c r="B19" s="26" t="n"/>
      <c r="C19" s="26" t="n"/>
      <c r="D19" s="26" t="n"/>
      <c r="E19" s="43" t="n"/>
      <c r="F19" s="43" t="n"/>
      <c r="G19" s="43" t="n"/>
      <c r="H19" s="43">
        <f>IF(E19="","",E19+F19+G19)</f>
        <v/>
      </c>
      <c r="I19" s="26" t="n"/>
      <c r="J19" s="26" t="n"/>
      <c r="K19" s="44">
        <f>IF(E19="","",MIN(10,IF(F19&lt;0,3,0)+IF(G19=0,2,0)+IF(I19&lt;&gt;"",2,0)+IF(H19&lt;AVERAGE('Historique commandes'!H3:H52)*0.9,2,0)+IF(OR(ISNUMBER(SEARCH("h",J19)),J19&lt;&gt;""),1,0)))</f>
        <v/>
      </c>
      <c r="L19" s="45">
        <f>IF(K19="","",IF(K19&gt;=8,"🟢 Excellent",IF(K19&gt;=5,"🟡 Correct","🔴 À améliorer")))</f>
        <v/>
      </c>
      <c r="M19" s="76" t="n"/>
    </row>
    <row r="20">
      <c r="A20" s="29" t="n"/>
      <c r="B20" s="29" t="n"/>
      <c r="C20" s="29" t="n"/>
      <c r="D20" s="29" t="n"/>
      <c r="E20" s="46" t="n"/>
      <c r="F20" s="46" t="n"/>
      <c r="G20" s="46" t="n"/>
      <c r="H20" s="46">
        <f>IF(E20="","",E20+F20+G20)</f>
        <v/>
      </c>
      <c r="I20" s="29" t="n"/>
      <c r="J20" s="29" t="n"/>
      <c r="K20" s="47">
        <f>IF(E20="","",MIN(10,IF(F20&lt;0,3,0)+IF(G20=0,2,0)+IF(I20&lt;&gt;"",2,0)+IF(H20&lt;AVERAGE('Historique commandes'!H3:H52)*0.9,2,0)+IF(OR(ISNUMBER(SEARCH("h",J20)),J20&lt;&gt;""),1,0)))</f>
        <v/>
      </c>
      <c r="L20" s="48">
        <f>IF(K20="","",IF(K20&gt;=8,"🟢 Excellent",IF(K20&gt;=5,"🟡 Correct","🔴 À améliorer")))</f>
        <v/>
      </c>
      <c r="M20" s="66" t="n"/>
    </row>
    <row r="21">
      <c r="A21" s="26" t="n"/>
      <c r="B21" s="26" t="n"/>
      <c r="C21" s="26" t="n"/>
      <c r="D21" s="26" t="n"/>
      <c r="E21" s="43" t="n"/>
      <c r="F21" s="43" t="n"/>
      <c r="G21" s="43" t="n"/>
      <c r="H21" s="43">
        <f>IF(E21="","",E21+F21+G21)</f>
        <v/>
      </c>
      <c r="I21" s="26" t="n"/>
      <c r="J21" s="26" t="n"/>
      <c r="K21" s="44">
        <f>IF(E21="","",MIN(10,IF(F21&lt;0,3,0)+IF(G21=0,2,0)+IF(I21&lt;&gt;"",2,0)+IF(H21&lt;AVERAGE('Historique commandes'!H3:H52)*0.9,2,0)+IF(OR(ISNUMBER(SEARCH("h",J21)),J21&lt;&gt;""),1,0)))</f>
        <v/>
      </c>
      <c r="L21" s="45">
        <f>IF(K21="","",IF(K21&gt;=8,"🟢 Excellent",IF(K21&gt;=5,"🟡 Correct","🔴 À améliorer")))</f>
        <v/>
      </c>
      <c r="M21" s="76" t="n"/>
    </row>
    <row r="22">
      <c r="A22" s="29" t="n"/>
      <c r="B22" s="29" t="n"/>
      <c r="C22" s="29" t="n"/>
      <c r="D22" s="29" t="n"/>
      <c r="E22" s="46" t="n"/>
      <c r="F22" s="46" t="n"/>
      <c r="G22" s="46" t="n"/>
      <c r="H22" s="46">
        <f>IF(E22="","",E22+F22+G22)</f>
        <v/>
      </c>
      <c r="I22" s="29" t="n"/>
      <c r="J22" s="29" t="n"/>
      <c r="K22" s="47">
        <f>IF(E22="","",MIN(10,IF(F22&lt;0,3,0)+IF(G22=0,2,0)+IF(I22&lt;&gt;"",2,0)+IF(H22&lt;AVERAGE('Historique commandes'!H3:H52)*0.9,2,0)+IF(OR(ISNUMBER(SEARCH("h",J22)),J22&lt;&gt;""),1,0)))</f>
        <v/>
      </c>
      <c r="L22" s="48">
        <f>IF(K22="","",IF(K22&gt;=8,"🟢 Excellent",IF(K22&gt;=5,"🟡 Correct","🔴 À améliorer")))</f>
        <v/>
      </c>
      <c r="M22" s="66" t="n"/>
    </row>
    <row r="23">
      <c r="A23" s="26" t="n"/>
      <c r="B23" s="26" t="n"/>
      <c r="C23" s="26" t="n"/>
      <c r="D23" s="26" t="n"/>
      <c r="E23" s="43" t="n"/>
      <c r="F23" s="43" t="n"/>
      <c r="G23" s="43" t="n"/>
      <c r="H23" s="43">
        <f>IF(E23="","",E23+F23+G23)</f>
        <v/>
      </c>
      <c r="I23" s="26" t="n"/>
      <c r="J23" s="26" t="n"/>
      <c r="K23" s="44">
        <f>IF(E23="","",MIN(10,IF(F23&lt;0,3,0)+IF(G23=0,2,0)+IF(I23&lt;&gt;"",2,0)+IF(H23&lt;AVERAGE('Historique commandes'!H3:H52)*0.9,2,0)+IF(OR(ISNUMBER(SEARCH("h",J23)),J23&lt;&gt;""),1,0)))</f>
        <v/>
      </c>
      <c r="L23" s="45">
        <f>IF(K23="","",IF(K23&gt;=8,"🟢 Excellent",IF(K23&gt;=5,"🟡 Correct","🔴 À améliorer")))</f>
        <v/>
      </c>
      <c r="M23" s="76" t="n"/>
    </row>
    <row r="24">
      <c r="A24" s="29" t="n"/>
      <c r="B24" s="29" t="n"/>
      <c r="C24" s="29" t="n"/>
      <c r="D24" s="29" t="n"/>
      <c r="E24" s="46" t="n"/>
      <c r="F24" s="46" t="n"/>
      <c r="G24" s="46" t="n"/>
      <c r="H24" s="46">
        <f>IF(E24="","",E24+F24+G24)</f>
        <v/>
      </c>
      <c r="I24" s="29" t="n"/>
      <c r="J24" s="29" t="n"/>
      <c r="K24" s="47">
        <f>IF(E24="","",MIN(10,IF(F24&lt;0,3,0)+IF(G24=0,2,0)+IF(I24&lt;&gt;"",2,0)+IF(H24&lt;AVERAGE('Historique commandes'!H3:H52)*0.9,2,0)+IF(OR(ISNUMBER(SEARCH("h",J24)),J24&lt;&gt;""),1,0)))</f>
        <v/>
      </c>
      <c r="L24" s="48">
        <f>IF(K24="","",IF(K24&gt;=8,"🟢 Excellent",IF(K24&gt;=5,"🟡 Correct","🔴 À améliorer")))</f>
        <v/>
      </c>
      <c r="M24" s="66" t="n"/>
    </row>
    <row r="25">
      <c r="A25" s="26" t="n"/>
      <c r="B25" s="26" t="n"/>
      <c r="C25" s="26" t="n"/>
      <c r="D25" s="26" t="n"/>
      <c r="E25" s="43" t="n"/>
      <c r="F25" s="43" t="n"/>
      <c r="G25" s="43" t="n"/>
      <c r="H25" s="43">
        <f>IF(E25="","",E25+F25+G25)</f>
        <v/>
      </c>
      <c r="I25" s="26" t="n"/>
      <c r="J25" s="26" t="n"/>
      <c r="K25" s="44">
        <f>IF(E25="","",MIN(10,IF(F25&lt;0,3,0)+IF(G25=0,2,0)+IF(I25&lt;&gt;"",2,0)+IF(H25&lt;AVERAGE('Historique commandes'!H3:H52)*0.9,2,0)+IF(OR(ISNUMBER(SEARCH("h",J25)),J25&lt;&gt;""),1,0)))</f>
        <v/>
      </c>
      <c r="L25" s="45">
        <f>IF(K25="","",IF(K25&gt;=8,"🟢 Excellent",IF(K25&gt;=5,"🟡 Correct","🔴 À améliorer")))</f>
        <v/>
      </c>
      <c r="M25" s="76" t="n"/>
    </row>
    <row r="26">
      <c r="A26" s="29" t="n"/>
      <c r="B26" s="29" t="n"/>
      <c r="C26" s="29" t="n"/>
      <c r="D26" s="29" t="n"/>
      <c r="E26" s="46" t="n"/>
      <c r="F26" s="46" t="n"/>
      <c r="G26" s="46" t="n"/>
      <c r="H26" s="46">
        <f>IF(E26="","",E26+F26+G26)</f>
        <v/>
      </c>
      <c r="I26" s="29" t="n"/>
      <c r="J26" s="29" t="n"/>
      <c r="K26" s="47">
        <f>IF(E26="","",MIN(10,IF(F26&lt;0,3,0)+IF(G26=0,2,0)+IF(I26&lt;&gt;"",2,0)+IF(H26&lt;AVERAGE('Historique commandes'!H3:H52)*0.9,2,0)+IF(OR(ISNUMBER(SEARCH("h",J26)),J26&lt;&gt;""),1,0)))</f>
        <v/>
      </c>
      <c r="L26" s="48">
        <f>IF(K26="","",IF(K26&gt;=8,"🟢 Excellent",IF(K26&gt;=5,"🟡 Correct","🔴 À améliorer")))</f>
        <v/>
      </c>
      <c r="M26" s="66" t="n"/>
    </row>
    <row r="27">
      <c r="A27" s="26" t="n"/>
      <c r="B27" s="26" t="n"/>
      <c r="C27" s="26" t="n"/>
      <c r="D27" s="26" t="n"/>
      <c r="E27" s="43" t="n"/>
      <c r="F27" s="43" t="n"/>
      <c r="G27" s="43" t="n"/>
      <c r="H27" s="43">
        <f>IF(E27="","",E27+F27+G27)</f>
        <v/>
      </c>
      <c r="I27" s="26" t="n"/>
      <c r="J27" s="26" t="n"/>
      <c r="K27" s="44">
        <f>IF(E27="","",MIN(10,IF(F27&lt;0,3,0)+IF(G27=0,2,0)+IF(I27&lt;&gt;"",2,0)+IF(H27&lt;AVERAGE('Historique commandes'!H3:H52)*0.9,2,0)+IF(OR(ISNUMBER(SEARCH("h",J27)),J27&lt;&gt;""),1,0)))</f>
        <v/>
      </c>
      <c r="L27" s="45">
        <f>IF(K27="","",IF(K27&gt;=8,"🟢 Excellent",IF(K27&gt;=5,"🟡 Correct","🔴 À améliorer")))</f>
        <v/>
      </c>
      <c r="M27" s="76" t="n"/>
    </row>
    <row r="28">
      <c r="A28" s="29" t="n"/>
      <c r="B28" s="29" t="n"/>
      <c r="C28" s="29" t="n"/>
      <c r="D28" s="29" t="n"/>
      <c r="E28" s="46" t="n"/>
      <c r="F28" s="46" t="n"/>
      <c r="G28" s="46" t="n"/>
      <c r="H28" s="46">
        <f>IF(E28="","",E28+F28+G28)</f>
        <v/>
      </c>
      <c r="I28" s="29" t="n"/>
      <c r="J28" s="29" t="n"/>
      <c r="K28" s="47">
        <f>IF(E28="","",MIN(10,IF(F28&lt;0,3,0)+IF(G28=0,2,0)+IF(I28&lt;&gt;"",2,0)+IF(H28&lt;AVERAGE('Historique commandes'!H3:H52)*0.9,2,0)+IF(OR(ISNUMBER(SEARCH("h",J28)),J28&lt;&gt;""),1,0)))</f>
        <v/>
      </c>
      <c r="L28" s="48">
        <f>IF(K28="","",IF(K28&gt;=8,"🟢 Excellent",IF(K28&gt;=5,"🟡 Correct","🔴 À améliorer")))</f>
        <v/>
      </c>
      <c r="M28" s="66" t="n"/>
    </row>
    <row r="29">
      <c r="A29" s="26" t="n"/>
      <c r="B29" s="26" t="n"/>
      <c r="C29" s="26" t="n"/>
      <c r="D29" s="26" t="n"/>
      <c r="E29" s="43" t="n"/>
      <c r="F29" s="43" t="n"/>
      <c r="G29" s="43" t="n"/>
      <c r="H29" s="43">
        <f>IF(E29="","",E29+F29+G29)</f>
        <v/>
      </c>
      <c r="I29" s="26" t="n"/>
      <c r="J29" s="26" t="n"/>
      <c r="K29" s="44">
        <f>IF(E29="","",MIN(10,IF(F29&lt;0,3,0)+IF(G29=0,2,0)+IF(I29&lt;&gt;"",2,0)+IF(H29&lt;AVERAGE('Historique commandes'!H3:H52)*0.9,2,0)+IF(OR(ISNUMBER(SEARCH("h",J29)),J29&lt;&gt;""),1,0)))</f>
        <v/>
      </c>
      <c r="L29" s="45">
        <f>IF(K29="","",IF(K29&gt;=8,"🟢 Excellent",IF(K29&gt;=5,"🟡 Correct","🔴 À améliorer")))</f>
        <v/>
      </c>
      <c r="M29" s="76" t="n"/>
    </row>
    <row r="30">
      <c r="A30" s="29" t="n"/>
      <c r="B30" s="29" t="n"/>
      <c r="C30" s="29" t="n"/>
      <c r="D30" s="29" t="n"/>
      <c r="E30" s="46" t="n"/>
      <c r="F30" s="46" t="n"/>
      <c r="G30" s="46" t="n"/>
      <c r="H30" s="46">
        <f>IF(E30="","",E30+F30+G30)</f>
        <v/>
      </c>
      <c r="I30" s="29" t="n"/>
      <c r="J30" s="29" t="n"/>
      <c r="K30" s="47">
        <f>IF(E30="","",MIN(10,IF(F30&lt;0,3,0)+IF(G30=0,2,0)+IF(I30&lt;&gt;"",2,0)+IF(H30&lt;AVERAGE('Historique commandes'!H3:H52)*0.9,2,0)+IF(OR(ISNUMBER(SEARCH("h",J30)),J30&lt;&gt;""),1,0)))</f>
        <v/>
      </c>
      <c r="L30" s="48">
        <f>IF(K30="","",IF(K30&gt;=8,"🟢 Excellent",IF(K30&gt;=5,"🟡 Correct","🔴 À améliorer")))</f>
        <v/>
      </c>
      <c r="M30" s="66" t="n"/>
    </row>
    <row r="31">
      <c r="A31" s="26" t="n"/>
      <c r="B31" s="26" t="n"/>
      <c r="C31" s="26" t="n"/>
      <c r="D31" s="26" t="n"/>
      <c r="E31" s="43" t="n"/>
      <c r="F31" s="43" t="n"/>
      <c r="G31" s="43" t="n"/>
      <c r="H31" s="43">
        <f>IF(E31="","",E31+F31+G31)</f>
        <v/>
      </c>
      <c r="I31" s="26" t="n"/>
      <c r="J31" s="26" t="n"/>
      <c r="K31" s="44">
        <f>IF(E31="","",MIN(10,IF(F31&lt;0,3,0)+IF(G31=0,2,0)+IF(I31&lt;&gt;"",2,0)+IF(H31&lt;AVERAGE('Historique commandes'!H3:H52)*0.9,2,0)+IF(OR(ISNUMBER(SEARCH("h",J31)),J31&lt;&gt;""),1,0)))</f>
        <v/>
      </c>
      <c r="L31" s="45">
        <f>IF(K31="","",IF(K31&gt;=8,"🟢 Excellent",IF(K31&gt;=5,"🟡 Correct","🔴 À améliorer")))</f>
        <v/>
      </c>
      <c r="M31" s="76" t="n"/>
    </row>
    <row r="32">
      <c r="A32" s="29" t="n"/>
      <c r="B32" s="29" t="n"/>
      <c r="C32" s="29" t="n"/>
      <c r="D32" s="29" t="n"/>
      <c r="E32" s="46" t="n"/>
      <c r="F32" s="46" t="n"/>
      <c r="G32" s="46" t="n"/>
      <c r="H32" s="46">
        <f>IF(E32="","",E32+F32+G32)</f>
        <v/>
      </c>
      <c r="I32" s="29" t="n"/>
      <c r="J32" s="29" t="n"/>
      <c r="K32" s="47">
        <f>IF(E32="","",MIN(10,IF(F32&lt;0,3,0)+IF(G32=0,2,0)+IF(I32&lt;&gt;"",2,0)+IF(H32&lt;AVERAGE('Historique commandes'!H3:H52)*0.9,2,0)+IF(OR(ISNUMBER(SEARCH("h",J32)),J32&lt;&gt;""),1,0)))</f>
        <v/>
      </c>
      <c r="L32" s="48">
        <f>IF(K32="","",IF(K32&gt;=8,"🟢 Excellent",IF(K32&gt;=5,"🟡 Correct","🔴 À améliorer")))</f>
        <v/>
      </c>
      <c r="M32" s="66" t="n"/>
    </row>
    <row r="33">
      <c r="A33" s="26" t="n"/>
      <c r="B33" s="26" t="n"/>
      <c r="C33" s="26" t="n"/>
      <c r="D33" s="26" t="n"/>
      <c r="E33" s="43" t="n"/>
      <c r="F33" s="43" t="n"/>
      <c r="G33" s="43" t="n"/>
      <c r="H33" s="43">
        <f>IF(E33="","",E33+F33+G33)</f>
        <v/>
      </c>
      <c r="I33" s="26" t="n"/>
      <c r="J33" s="26" t="n"/>
      <c r="K33" s="44">
        <f>IF(E33="","",MIN(10,IF(F33&lt;0,3,0)+IF(G33=0,2,0)+IF(I33&lt;&gt;"",2,0)+IF(H33&lt;AVERAGE('Historique commandes'!H3:H52)*0.9,2,0)+IF(OR(ISNUMBER(SEARCH("h",J33)),J33&lt;&gt;""),1,0)))</f>
        <v/>
      </c>
      <c r="L33" s="45">
        <f>IF(K33="","",IF(K33&gt;=8,"🟢 Excellent",IF(K33&gt;=5,"🟡 Correct","🔴 À améliorer")))</f>
        <v/>
      </c>
      <c r="M33" s="76" t="n"/>
    </row>
    <row r="34">
      <c r="A34" s="29" t="n"/>
      <c r="B34" s="29" t="n"/>
      <c r="C34" s="29" t="n"/>
      <c r="D34" s="29" t="n"/>
      <c r="E34" s="46" t="n"/>
      <c r="F34" s="46" t="n"/>
      <c r="G34" s="46" t="n"/>
      <c r="H34" s="46">
        <f>IF(E34="","",E34+F34+G34)</f>
        <v/>
      </c>
      <c r="I34" s="29" t="n"/>
      <c r="J34" s="29" t="n"/>
      <c r="K34" s="47">
        <f>IF(E34="","",MIN(10,IF(F34&lt;0,3,0)+IF(G34=0,2,0)+IF(I34&lt;&gt;"",2,0)+IF(H34&lt;AVERAGE('Historique commandes'!H3:H52)*0.9,2,0)+IF(OR(ISNUMBER(SEARCH("h",J34)),J34&lt;&gt;""),1,0)))</f>
        <v/>
      </c>
      <c r="L34" s="48">
        <f>IF(K34="","",IF(K34&gt;=8,"🟢 Excellent",IF(K34&gt;=5,"🟡 Correct","🔴 À améliorer")))</f>
        <v/>
      </c>
      <c r="M34" s="66" t="n"/>
    </row>
    <row r="35">
      <c r="A35" s="26" t="n"/>
      <c r="B35" s="26" t="n"/>
      <c r="C35" s="26" t="n"/>
      <c r="D35" s="26" t="n"/>
      <c r="E35" s="43" t="n"/>
      <c r="F35" s="43" t="n"/>
      <c r="G35" s="43" t="n"/>
      <c r="H35" s="43">
        <f>IF(E35="","",E35+F35+G35)</f>
        <v/>
      </c>
      <c r="I35" s="26" t="n"/>
      <c r="J35" s="26" t="n"/>
      <c r="K35" s="44">
        <f>IF(E35="","",MIN(10,IF(F35&lt;0,3,0)+IF(G35=0,2,0)+IF(I35&lt;&gt;"",2,0)+IF(H35&lt;AVERAGE('Historique commandes'!H3:H52)*0.9,2,0)+IF(OR(ISNUMBER(SEARCH("h",J35)),J35&lt;&gt;""),1,0)))</f>
        <v/>
      </c>
      <c r="L35" s="45">
        <f>IF(K35="","",IF(K35&gt;=8,"🟢 Excellent",IF(K35&gt;=5,"🟡 Correct","🔴 À améliorer")))</f>
        <v/>
      </c>
      <c r="M35" s="76" t="n"/>
    </row>
    <row r="36">
      <c r="A36" s="29" t="n"/>
      <c r="B36" s="29" t="n"/>
      <c r="C36" s="29" t="n"/>
      <c r="D36" s="29" t="n"/>
      <c r="E36" s="46" t="n"/>
      <c r="F36" s="46" t="n"/>
      <c r="G36" s="46" t="n"/>
      <c r="H36" s="46">
        <f>IF(E36="","",E36+F36+G36)</f>
        <v/>
      </c>
      <c r="I36" s="29" t="n"/>
      <c r="J36" s="29" t="n"/>
      <c r="K36" s="47">
        <f>IF(E36="","",MIN(10,IF(F36&lt;0,3,0)+IF(G36=0,2,0)+IF(I36&lt;&gt;"",2,0)+IF(H36&lt;AVERAGE('Historique commandes'!H3:H52)*0.9,2,0)+IF(OR(ISNUMBER(SEARCH("h",J36)),J36&lt;&gt;""),1,0)))</f>
        <v/>
      </c>
      <c r="L36" s="48">
        <f>IF(K36="","",IF(K36&gt;=8,"🟢 Excellent",IF(K36&gt;=5,"🟡 Correct","🔴 À améliorer")))</f>
        <v/>
      </c>
      <c r="M36" s="66" t="n"/>
    </row>
    <row r="37">
      <c r="A37" s="26" t="n"/>
      <c r="B37" s="26" t="n"/>
      <c r="C37" s="26" t="n"/>
      <c r="D37" s="26" t="n"/>
      <c r="E37" s="43" t="n"/>
      <c r="F37" s="43" t="n"/>
      <c r="G37" s="43" t="n"/>
      <c r="H37" s="43">
        <f>IF(E37="","",E37+F37+G37)</f>
        <v/>
      </c>
      <c r="I37" s="26" t="n"/>
      <c r="J37" s="26" t="n"/>
      <c r="K37" s="44">
        <f>IF(E37="","",MIN(10,IF(F37&lt;0,3,0)+IF(G37=0,2,0)+IF(I37&lt;&gt;"",2,0)+IF(H37&lt;AVERAGE('Historique commandes'!H3:H52)*0.9,2,0)+IF(OR(ISNUMBER(SEARCH("h",J37)),J37&lt;&gt;""),1,0)))</f>
        <v/>
      </c>
      <c r="L37" s="45">
        <f>IF(K37="","",IF(K37&gt;=8,"🟢 Excellent",IF(K37&gt;=5,"🟡 Correct","🔴 À améliorer")))</f>
        <v/>
      </c>
      <c r="M37" s="76" t="n"/>
    </row>
    <row r="38">
      <c r="A38" s="29" t="n"/>
      <c r="B38" s="29" t="n"/>
      <c r="C38" s="29" t="n"/>
      <c r="D38" s="29" t="n"/>
      <c r="E38" s="46" t="n"/>
      <c r="F38" s="46" t="n"/>
      <c r="G38" s="46" t="n"/>
      <c r="H38" s="46">
        <f>IF(E38="","",E38+F38+G38)</f>
        <v/>
      </c>
      <c r="I38" s="29" t="n"/>
      <c r="J38" s="29" t="n"/>
      <c r="K38" s="47">
        <f>IF(E38="","",MIN(10,IF(F38&lt;0,3,0)+IF(G38=0,2,0)+IF(I38&lt;&gt;"",2,0)+IF(H38&lt;AVERAGE('Historique commandes'!H3:H52)*0.9,2,0)+IF(OR(ISNUMBER(SEARCH("h",J38)),J38&lt;&gt;""),1,0)))</f>
        <v/>
      </c>
      <c r="L38" s="48">
        <f>IF(K38="","",IF(K38&gt;=8,"🟢 Excellent",IF(K38&gt;=5,"🟡 Correct","🔴 À améliorer")))</f>
        <v/>
      </c>
      <c r="M38" s="66" t="n"/>
    </row>
    <row r="39">
      <c r="A39" s="26" t="n"/>
      <c r="B39" s="26" t="n"/>
      <c r="C39" s="26" t="n"/>
      <c r="D39" s="26" t="n"/>
      <c r="E39" s="43" t="n"/>
      <c r="F39" s="43" t="n"/>
      <c r="G39" s="43" t="n"/>
      <c r="H39" s="43">
        <f>IF(E39="","",E39+F39+G39)</f>
        <v/>
      </c>
      <c r="I39" s="26" t="n"/>
      <c r="J39" s="26" t="n"/>
      <c r="K39" s="44">
        <f>IF(E39="","",MIN(10,IF(F39&lt;0,3,0)+IF(G39=0,2,0)+IF(I39&lt;&gt;"",2,0)+IF(H39&lt;AVERAGE('Historique commandes'!H3:H52)*0.9,2,0)+IF(OR(ISNUMBER(SEARCH("h",J39)),J39&lt;&gt;""),1,0)))</f>
        <v/>
      </c>
      <c r="L39" s="45">
        <f>IF(K39="","",IF(K39&gt;=8,"🟢 Excellent",IF(K39&gt;=5,"🟡 Correct","🔴 À améliorer")))</f>
        <v/>
      </c>
      <c r="M39" s="76" t="n"/>
    </row>
    <row r="40">
      <c r="A40" s="29" t="n"/>
      <c r="B40" s="29" t="n"/>
      <c r="C40" s="29" t="n"/>
      <c r="D40" s="29" t="n"/>
      <c r="E40" s="46" t="n"/>
      <c r="F40" s="46" t="n"/>
      <c r="G40" s="46" t="n"/>
      <c r="H40" s="46">
        <f>IF(E40="","",E40+F40+G40)</f>
        <v/>
      </c>
      <c r="I40" s="29" t="n"/>
      <c r="J40" s="29" t="n"/>
      <c r="K40" s="47">
        <f>IF(E40="","",MIN(10,IF(F40&lt;0,3,0)+IF(G40=0,2,0)+IF(I40&lt;&gt;"",2,0)+IF(H40&lt;AVERAGE('Historique commandes'!H3:H52)*0.9,2,0)+IF(OR(ISNUMBER(SEARCH("h",J40)),J40&lt;&gt;""),1,0)))</f>
        <v/>
      </c>
      <c r="L40" s="48">
        <f>IF(K40="","",IF(K40&gt;=8,"🟢 Excellent",IF(K40&gt;=5,"🟡 Correct","🔴 À améliorer")))</f>
        <v/>
      </c>
      <c r="M40" s="66" t="n"/>
    </row>
    <row r="41">
      <c r="A41" s="26" t="n"/>
      <c r="B41" s="26" t="n"/>
      <c r="C41" s="26" t="n"/>
      <c r="D41" s="26" t="n"/>
      <c r="E41" s="43" t="n"/>
      <c r="F41" s="43" t="n"/>
      <c r="G41" s="43" t="n"/>
      <c r="H41" s="43">
        <f>IF(E41="","",E41+F41+G41)</f>
        <v/>
      </c>
      <c r="I41" s="26" t="n"/>
      <c r="J41" s="26" t="n"/>
      <c r="K41" s="44">
        <f>IF(E41="","",MIN(10,IF(F41&lt;0,3,0)+IF(G41=0,2,0)+IF(I41&lt;&gt;"",2,0)+IF(H41&lt;AVERAGE('Historique commandes'!H3:H52)*0.9,2,0)+IF(OR(ISNUMBER(SEARCH("h",J41)),J41&lt;&gt;""),1,0)))</f>
        <v/>
      </c>
      <c r="L41" s="45">
        <f>IF(K41="","",IF(K41&gt;=8,"🟢 Excellent",IF(K41&gt;=5,"🟡 Correct","🔴 À améliorer")))</f>
        <v/>
      </c>
      <c r="M41" s="76" t="n"/>
    </row>
    <row r="42">
      <c r="A42" s="29" t="n"/>
      <c r="B42" s="29" t="n"/>
      <c r="C42" s="29" t="n"/>
      <c r="D42" s="29" t="n"/>
      <c r="E42" s="46" t="n"/>
      <c r="F42" s="46" t="n"/>
      <c r="G42" s="46" t="n"/>
      <c r="H42" s="46">
        <f>IF(E42="","",E42+F42+G42)</f>
        <v/>
      </c>
      <c r="I42" s="29" t="n"/>
      <c r="J42" s="29" t="n"/>
      <c r="K42" s="47">
        <f>IF(E42="","",MIN(10,IF(F42&lt;0,3,0)+IF(G42=0,2,0)+IF(I42&lt;&gt;"",2,0)+IF(H42&lt;AVERAGE('Historique commandes'!H3:H52)*0.9,2,0)+IF(OR(ISNUMBER(SEARCH("h",J42)),J42&lt;&gt;""),1,0)))</f>
        <v/>
      </c>
      <c r="L42" s="48">
        <f>IF(K42="","",IF(K42&gt;=8,"🟢 Excellent",IF(K42&gt;=5,"🟡 Correct","🔴 À améliorer")))</f>
        <v/>
      </c>
      <c r="M42" s="66" t="n"/>
    </row>
    <row r="43">
      <c r="A43" s="26" t="n"/>
      <c r="B43" s="26" t="n"/>
      <c r="C43" s="26" t="n"/>
      <c r="D43" s="26" t="n"/>
      <c r="E43" s="43" t="n"/>
      <c r="F43" s="43" t="n"/>
      <c r="G43" s="43" t="n"/>
      <c r="H43" s="43">
        <f>IF(E43="","",E43+F43+G43)</f>
        <v/>
      </c>
      <c r="I43" s="26" t="n"/>
      <c r="J43" s="26" t="n"/>
      <c r="K43" s="44">
        <f>IF(E43="","",MIN(10,IF(F43&lt;0,3,0)+IF(G43=0,2,0)+IF(I43&lt;&gt;"",2,0)+IF(H43&lt;AVERAGE('Historique commandes'!H3:H52)*0.9,2,0)+IF(OR(ISNUMBER(SEARCH("h",J43)),J43&lt;&gt;""),1,0)))</f>
        <v/>
      </c>
      <c r="L43" s="45">
        <f>IF(K43="","",IF(K43&gt;=8,"🟢 Excellent",IF(K43&gt;=5,"🟡 Correct","🔴 À améliorer")))</f>
        <v/>
      </c>
      <c r="M43" s="76" t="n"/>
    </row>
    <row r="44">
      <c r="A44" s="29" t="n"/>
      <c r="B44" s="29" t="n"/>
      <c r="C44" s="29" t="n"/>
      <c r="D44" s="29" t="n"/>
      <c r="E44" s="46" t="n"/>
      <c r="F44" s="46" t="n"/>
      <c r="G44" s="46" t="n"/>
      <c r="H44" s="46">
        <f>IF(E44="","",E44+F44+G44)</f>
        <v/>
      </c>
      <c r="I44" s="29" t="n"/>
      <c r="J44" s="29" t="n"/>
      <c r="K44" s="47">
        <f>IF(E44="","",MIN(10,IF(F44&lt;0,3,0)+IF(G44=0,2,0)+IF(I44&lt;&gt;"",2,0)+IF(H44&lt;AVERAGE('Historique commandes'!H3:H52)*0.9,2,0)+IF(OR(ISNUMBER(SEARCH("h",J44)),J44&lt;&gt;""),1,0)))</f>
        <v/>
      </c>
      <c r="L44" s="48">
        <f>IF(K44="","",IF(K44&gt;=8,"🟢 Excellent",IF(K44&gt;=5,"🟡 Correct","🔴 À améliorer")))</f>
        <v/>
      </c>
      <c r="M44" s="66" t="n"/>
    </row>
    <row r="45">
      <c r="A45" s="26" t="n"/>
      <c r="B45" s="26" t="n"/>
      <c r="C45" s="26" t="n"/>
      <c r="D45" s="26" t="n"/>
      <c r="E45" s="43" t="n"/>
      <c r="F45" s="43" t="n"/>
      <c r="G45" s="43" t="n"/>
      <c r="H45" s="43">
        <f>IF(E45="","",E45+F45+G45)</f>
        <v/>
      </c>
      <c r="I45" s="26" t="n"/>
      <c r="J45" s="26" t="n"/>
      <c r="K45" s="44">
        <f>IF(E45="","",MIN(10,IF(F45&lt;0,3,0)+IF(G45=0,2,0)+IF(I45&lt;&gt;"",2,0)+IF(H45&lt;AVERAGE('Historique commandes'!H3:H52)*0.9,2,0)+IF(OR(ISNUMBER(SEARCH("h",J45)),J45&lt;&gt;""),1,0)))</f>
        <v/>
      </c>
      <c r="L45" s="45">
        <f>IF(K45="","",IF(K45&gt;=8,"🟢 Excellent",IF(K45&gt;=5,"🟡 Correct","🔴 À améliorer")))</f>
        <v/>
      </c>
      <c r="M45" s="76" t="n"/>
    </row>
    <row r="46">
      <c r="A46" s="29" t="n"/>
      <c r="B46" s="29" t="n"/>
      <c r="C46" s="29" t="n"/>
      <c r="D46" s="29" t="n"/>
      <c r="E46" s="46" t="n"/>
      <c r="F46" s="46" t="n"/>
      <c r="G46" s="46" t="n"/>
      <c r="H46" s="46">
        <f>IF(E46="","",E46+F46+G46)</f>
        <v/>
      </c>
      <c r="I46" s="29" t="n"/>
      <c r="J46" s="29" t="n"/>
      <c r="K46" s="47">
        <f>IF(E46="","",MIN(10,IF(F46&lt;0,3,0)+IF(G46=0,2,0)+IF(I46&lt;&gt;"",2,0)+IF(H46&lt;AVERAGE('Historique commandes'!H3:H52)*0.9,2,0)+IF(OR(ISNUMBER(SEARCH("h",J46)),J46&lt;&gt;""),1,0)))</f>
        <v/>
      </c>
      <c r="L46" s="48">
        <f>IF(K46="","",IF(K46&gt;=8,"🟢 Excellent",IF(K46&gt;=5,"🟡 Correct","🔴 À améliorer")))</f>
        <v/>
      </c>
      <c r="M46" s="66" t="n"/>
    </row>
    <row r="47">
      <c r="A47" s="26" t="n"/>
      <c r="B47" s="26" t="n"/>
      <c r="C47" s="26" t="n"/>
      <c r="D47" s="26" t="n"/>
      <c r="E47" s="43" t="n"/>
      <c r="F47" s="43" t="n"/>
      <c r="G47" s="43" t="n"/>
      <c r="H47" s="43">
        <f>IF(E47="","",E47+F47+G47)</f>
        <v/>
      </c>
      <c r="I47" s="26" t="n"/>
      <c r="J47" s="26" t="n"/>
      <c r="K47" s="44">
        <f>IF(E47="","",MIN(10,IF(F47&lt;0,3,0)+IF(G47=0,2,0)+IF(I47&lt;&gt;"",2,0)+IF(H47&lt;AVERAGE('Historique commandes'!H3:H52)*0.9,2,0)+IF(OR(ISNUMBER(SEARCH("h",J47)),J47&lt;&gt;""),1,0)))</f>
        <v/>
      </c>
      <c r="L47" s="45">
        <f>IF(K47="","",IF(K47&gt;=8,"🟢 Excellent",IF(K47&gt;=5,"🟡 Correct","🔴 À améliorer")))</f>
        <v/>
      </c>
      <c r="M47" s="76" t="n"/>
    </row>
    <row r="48">
      <c r="A48" s="29" t="n"/>
      <c r="B48" s="29" t="n"/>
      <c r="C48" s="29" t="n"/>
      <c r="D48" s="29" t="n"/>
      <c r="E48" s="46" t="n"/>
      <c r="F48" s="46" t="n"/>
      <c r="G48" s="46" t="n"/>
      <c r="H48" s="46">
        <f>IF(E48="","",E48+F48+G48)</f>
        <v/>
      </c>
      <c r="I48" s="29" t="n"/>
      <c r="J48" s="29" t="n"/>
      <c r="K48" s="47">
        <f>IF(E48="","",MIN(10,IF(F48&lt;0,3,0)+IF(G48=0,2,0)+IF(I48&lt;&gt;"",2,0)+IF(H48&lt;AVERAGE('Historique commandes'!H3:H52)*0.9,2,0)+IF(OR(ISNUMBER(SEARCH("h",J48)),J48&lt;&gt;""),1,0)))</f>
        <v/>
      </c>
      <c r="L48" s="48">
        <f>IF(K48="","",IF(K48&gt;=8,"🟢 Excellent",IF(K48&gt;=5,"🟡 Correct","🔴 À améliorer")))</f>
        <v/>
      </c>
      <c r="M48" s="66" t="n"/>
    </row>
    <row r="49">
      <c r="A49" s="26" t="n"/>
      <c r="B49" s="26" t="n"/>
      <c r="C49" s="26" t="n"/>
      <c r="D49" s="26" t="n"/>
      <c r="E49" s="43" t="n"/>
      <c r="F49" s="43" t="n"/>
      <c r="G49" s="43" t="n"/>
      <c r="H49" s="43">
        <f>IF(E49="","",E49+F49+G49)</f>
        <v/>
      </c>
      <c r="I49" s="26" t="n"/>
      <c r="J49" s="26" t="n"/>
      <c r="K49" s="44">
        <f>IF(E49="","",MIN(10,IF(F49&lt;0,3,0)+IF(G49=0,2,0)+IF(I49&lt;&gt;"",2,0)+IF(H49&lt;AVERAGE('Historique commandes'!H3:H52)*0.9,2,0)+IF(OR(ISNUMBER(SEARCH("h",J49)),J49&lt;&gt;""),1,0)))</f>
        <v/>
      </c>
      <c r="L49" s="45">
        <f>IF(K49="","",IF(K49&gt;=8,"🟢 Excellent",IF(K49&gt;=5,"🟡 Correct","🔴 À améliorer")))</f>
        <v/>
      </c>
      <c r="M49" s="76" t="n"/>
    </row>
    <row r="50">
      <c r="A50" s="29" t="n"/>
      <c r="B50" s="29" t="n"/>
      <c r="C50" s="29" t="n"/>
      <c r="D50" s="29" t="n"/>
      <c r="E50" s="46" t="n"/>
      <c r="F50" s="46" t="n"/>
      <c r="G50" s="46" t="n"/>
      <c r="H50" s="46">
        <f>IF(E50="","",E50+F50+G50)</f>
        <v/>
      </c>
      <c r="I50" s="29" t="n"/>
      <c r="J50" s="29" t="n"/>
      <c r="K50" s="47">
        <f>IF(E50="","",MIN(10,IF(F50&lt;0,3,0)+IF(G50=0,2,0)+IF(I50&lt;&gt;"",2,0)+IF(H50&lt;AVERAGE('Historique commandes'!H3:H52)*0.9,2,0)+IF(OR(ISNUMBER(SEARCH("h",J50)),J50&lt;&gt;""),1,0)))</f>
        <v/>
      </c>
      <c r="L50" s="48">
        <f>IF(K50="","",IF(K50&gt;=8,"🟢 Excellent",IF(K50&gt;=5,"🟡 Correct","🔴 À améliorer")))</f>
        <v/>
      </c>
      <c r="M50" s="66" t="n"/>
    </row>
    <row r="51">
      <c r="A51" s="26" t="n"/>
      <c r="B51" s="26" t="n"/>
      <c r="C51" s="26" t="n"/>
      <c r="D51" s="26" t="n"/>
      <c r="E51" s="43" t="n"/>
      <c r="F51" s="43" t="n"/>
      <c r="G51" s="43" t="n"/>
      <c r="H51" s="43">
        <f>IF(E51="","",E51+F51+G51)</f>
        <v/>
      </c>
      <c r="I51" s="26" t="n"/>
      <c r="J51" s="26" t="n"/>
      <c r="K51" s="44">
        <f>IF(E51="","",MIN(10,IF(F51&lt;0,3,0)+IF(G51=0,2,0)+IF(I51&lt;&gt;"",2,0)+IF(H51&lt;AVERAGE('Historique commandes'!H3:H52)*0.9,2,0)+IF(OR(ISNUMBER(SEARCH("h",J51)),J51&lt;&gt;""),1,0)))</f>
        <v/>
      </c>
      <c r="L51" s="45">
        <f>IF(K51="","",IF(K51&gt;=8,"🟢 Excellent",IF(K51&gt;=5,"🟡 Correct","🔴 À améliorer")))</f>
        <v/>
      </c>
      <c r="M51" s="76" t="n"/>
    </row>
    <row r="52">
      <c r="A52" s="29" t="n"/>
      <c r="B52" s="29" t="n"/>
      <c r="C52" s="29" t="n"/>
      <c r="D52" s="29" t="n"/>
      <c r="E52" s="46" t="n"/>
      <c r="F52" s="46" t="n"/>
      <c r="G52" s="46" t="n"/>
      <c r="H52" s="46">
        <f>IF(E52="","",E52+F52+G52)</f>
        <v/>
      </c>
      <c r="I52" s="29" t="n"/>
      <c r="J52" s="29" t="n"/>
      <c r="K52" s="47">
        <f>IF(E52="","",MIN(10,IF(F52&lt;0,3,0)+IF(G52=0,2,0)+IF(I52&lt;&gt;"",2,0)+IF(H52&lt;AVERAGE('Historique commandes'!H3:H52)*0.9,2,0)+IF(OR(ISNUMBER(SEARCH("h",J52)),J52&lt;&gt;""),1,0)))</f>
        <v/>
      </c>
      <c r="L52" s="48">
        <f>IF(K52="","",IF(K52&gt;=8,"🟢 Excellent",IF(K52&gt;=5,"🟡 Correct","🔴 À améliorer")))</f>
        <v/>
      </c>
      <c r="M52" s="66" t="n"/>
    </row>
    <row r="54" ht="26" customHeight="1">
      <c r="A54" s="12" t="inlineStr">
        <is>
          <t>TOTAUX</t>
        </is>
      </c>
      <c r="B54" s="5" t="n"/>
      <c r="C54" s="5" t="n"/>
      <c r="D54" s="6" t="n"/>
      <c r="E54" s="49">
        <f>SUM(E3:E52)</f>
        <v/>
      </c>
      <c r="F54" s="49">
        <f>SUM(F3:F52)</f>
        <v/>
      </c>
      <c r="G54" s="49">
        <f>SUM(G3:G52)</f>
        <v/>
      </c>
      <c r="H54" s="49">
        <f>SUM(H3:H52)</f>
        <v/>
      </c>
      <c r="I54" s="23" t="n"/>
      <c r="J54" s="23" t="n"/>
      <c r="K54" s="23" t="n"/>
      <c r="L54" s="23" t="n"/>
      <c r="M54" s="23" t="n"/>
    </row>
  </sheetData>
  <mergeCells count="3">
    <mergeCell ref="A1:J1"/>
    <mergeCell ref="A1:M1"/>
    <mergeCell ref="A54:D54"/>
  </mergeCells>
  <conditionalFormatting sqref="H3:H52">
    <cfRule type="colorScale" priority="1">
      <colorScale>
        <cfvo type="min"/>
        <cfvo type="percentile" val="50"/>
        <cfvo type="max"/>
        <color rgb="0052B788"/>
        <color rgb="00FFFF99"/>
        <color rgb="00E63946"/>
      </colorScale>
    </cfRule>
  </conditionalFormatting>
  <conditionalFormatting sqref="K3:K52">
    <cfRule type="colorScale" priority="2">
      <colorScale>
        <cfvo type="num" val="0"/>
        <cfvo type="num" val="5"/>
        <cfvo type="num" val="10"/>
        <color rgb="00E63946"/>
        <color rgb="00FFD700"/>
        <color rgb="0052B788"/>
      </colorScale>
    </cfRule>
  </conditionalFormatting>
  <dataValidations count="1">
    <dataValidation sqref="M3:M52" showDropDown="0" showInputMessage="1" showErrorMessage="0" allowBlank="1" promptTitle="Format heure" prompt="Entrez l'heure au format HH:MM (ex: 13:30)" type="textLength" operator="lessThanOrEqual">
      <formula1>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B703"/>
    <outlinePr summaryBelow="1" summaryRight="1"/>
    <pageSetUpPr/>
  </sheetPr>
  <dimension ref="A1:I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2" customWidth="1" min="4" max="4"/>
    <col width="14" customWidth="1" min="5" max="5"/>
    <col width="12" customWidth="1" min="6" max="6"/>
    <col width="11" customWidth="1" min="7" max="7"/>
    <col width="18" customWidth="1" min="8" max="8"/>
    <col width="12" customWidth="1" min="9" max="9"/>
  </cols>
  <sheetData>
    <row r="1" ht="32" customHeight="1">
      <c r="A1" s="25" t="inlineStr">
        <is>
          <t>🎁 SUIVI DES PROMOTIONS</t>
        </is>
      </c>
    </row>
    <row r="2" ht="30" customHeight="1">
      <c r="A2" s="12" t="inlineStr">
        <is>
          <t>Plateforme</t>
        </is>
      </c>
      <c r="B2" s="12" t="inlineStr">
        <is>
          <t>Type promo</t>
        </is>
      </c>
      <c r="C2" s="12" t="inlineStr">
        <is>
          <t>Code / Source</t>
        </is>
      </c>
      <c r="D2" s="12" t="inlineStr">
        <is>
          <t>Valeur</t>
        </is>
      </c>
      <c r="E2" s="12" t="inlineStr">
        <is>
          <t>Condition min.</t>
        </is>
      </c>
      <c r="F2" s="12" t="inlineStr">
        <is>
          <t>Expire le</t>
        </is>
      </c>
      <c r="G2" s="12" t="inlineStr">
        <is>
          <t>Utilisé ?</t>
        </is>
      </c>
      <c r="H2" s="12" t="inlineStr">
        <is>
          <t>Économie réelle (€)</t>
        </is>
      </c>
      <c r="I2" s="12" t="inlineStr">
        <is>
          <t>Statut</t>
        </is>
      </c>
    </row>
    <row r="3">
      <c r="A3" s="26" t="inlineStr">
        <is>
          <t>Grab</t>
        </is>
      </c>
      <c r="B3" s="26" t="inlineStr">
        <is>
          <t>% commande</t>
        </is>
      </c>
      <c r="C3" s="26" t="inlineStr">
        <is>
          <t>GRAB15</t>
        </is>
      </c>
      <c r="D3" s="26" t="inlineStr">
        <is>
          <t>-15%</t>
        </is>
      </c>
      <c r="E3" s="26" t="inlineStr">
        <is>
          <t>Min. 18€</t>
        </is>
      </c>
      <c r="F3" s="26" t="inlineStr">
        <is>
          <t>2026-04-20</t>
        </is>
      </c>
      <c r="G3" s="26" t="inlineStr">
        <is>
          <t>Oui</t>
        </is>
      </c>
      <c r="H3" s="43" t="n">
        <v>-3.9</v>
      </c>
      <c r="I3" s="33">
        <f>IF(G3="Oui","✓ Utilisé",IF(F3&lt;TODAY(),"⚠ Expirée","✅ Disponible"))</f>
        <v/>
      </c>
    </row>
    <row r="4">
      <c r="A4" s="29" t="inlineStr">
        <is>
          <t>Grab</t>
        </is>
      </c>
      <c r="B4" s="29" t="inlineStr">
        <is>
          <t>% commande</t>
        </is>
      </c>
      <c r="C4" s="29" t="inlineStr">
        <is>
          <t>SUSHI20</t>
        </is>
      </c>
      <c r="D4" s="29" t="inlineStr">
        <is>
          <t>-20%</t>
        </is>
      </c>
      <c r="E4" s="29" t="inlineStr">
        <is>
          <t>Min. 15€</t>
        </is>
      </c>
      <c r="F4" s="29" t="inlineStr">
        <is>
          <t>2026-04-25</t>
        </is>
      </c>
      <c r="G4" s="29" t="inlineStr">
        <is>
          <t>Oui</t>
        </is>
      </c>
      <c r="H4" s="46" t="n">
        <v>-4.4</v>
      </c>
      <c r="I4" s="34">
        <f>IF(G4="Oui","✓ Utilisé",IF(F4&lt;TODAY(),"⚠ Expirée","✅ Disponible"))</f>
        <v/>
      </c>
    </row>
    <row r="5">
      <c r="A5" s="26" t="inlineStr">
        <is>
          <t>Grab</t>
        </is>
      </c>
      <c r="B5" s="26" t="inlineStr">
        <is>
          <t>% commande</t>
        </is>
      </c>
      <c r="C5" s="26" t="inlineStr">
        <is>
          <t>GRABVIP</t>
        </is>
      </c>
      <c r="D5" s="26" t="inlineStr">
        <is>
          <t>-20%</t>
        </is>
      </c>
      <c r="E5" s="26" t="inlineStr">
        <is>
          <t>Min. 18€</t>
        </is>
      </c>
      <c r="F5" s="26" t="inlineStr">
        <is>
          <t>2026-04-30</t>
        </is>
      </c>
      <c r="G5" s="26" t="inlineStr">
        <is>
          <t>Oui</t>
        </is>
      </c>
      <c r="H5" s="43" t="n">
        <v>-3.9</v>
      </c>
      <c r="I5" s="33">
        <f>IF(G5="Oui","✓ Utilisé",IF(F5&lt;TODAY(),"⚠ Expirée","✅ Disponible"))</f>
        <v/>
      </c>
    </row>
    <row r="6">
      <c r="A6" s="29" t="inlineStr">
        <is>
          <t>Wolt</t>
        </is>
      </c>
      <c r="B6" s="29" t="inlineStr">
        <is>
          <t>% commande</t>
        </is>
      </c>
      <c r="C6" s="29" t="inlineStr">
        <is>
          <t>WOLT20</t>
        </is>
      </c>
      <c r="D6" s="29" t="inlineStr">
        <is>
          <t>-20%</t>
        </is>
      </c>
      <c r="E6" s="29" t="inlineStr">
        <is>
          <t>Min. 15€</t>
        </is>
      </c>
      <c r="F6" s="29" t="inlineStr">
        <is>
          <t>2026-04-15</t>
        </is>
      </c>
      <c r="G6" s="29" t="inlineStr">
        <is>
          <t>Oui</t>
        </is>
      </c>
      <c r="H6" s="46" t="n">
        <v>-3.2</v>
      </c>
      <c r="I6" s="34">
        <f>IF(G6="Oui","✓ Utilisé",IF(F6&lt;TODAY(),"⚠ Expirée","✅ Disponible"))</f>
        <v/>
      </c>
    </row>
    <row r="7">
      <c r="A7" s="26" t="inlineStr">
        <is>
          <t>Wolt</t>
        </is>
      </c>
      <c r="B7" s="26" t="inlineStr">
        <is>
          <t>Livraison gratuite</t>
        </is>
      </c>
      <c r="C7" s="26" t="inlineStr">
        <is>
          <t>APP_NOTIF</t>
        </is>
      </c>
      <c r="D7" s="26" t="inlineStr">
        <is>
          <t>0€ liv.</t>
        </is>
      </c>
      <c r="E7" s="26" t="inlineStr">
        <is>
          <t>Min. 20€</t>
        </is>
      </c>
      <c r="F7" s="26" t="inlineStr">
        <is>
          <t>2026-04-18</t>
        </is>
      </c>
      <c r="G7" s="26" t="inlineStr">
        <is>
          <t>Non</t>
        </is>
      </c>
      <c r="H7" s="43" t="n">
        <v>0</v>
      </c>
      <c r="I7" s="33">
        <f>IF(G7="Oui","✓ Utilisé",IF(F7&lt;TODAY(),"⚠ Expirée","✅ Disponible"))</f>
        <v/>
      </c>
    </row>
    <row r="8">
      <c r="A8" s="29" t="inlineStr">
        <is>
          <t>Grab</t>
        </is>
      </c>
      <c r="B8" s="29" t="inlineStr">
        <is>
          <t>Livraison gratuite</t>
        </is>
      </c>
      <c r="C8" s="29" t="inlineStr">
        <is>
          <t>GRABFREE</t>
        </is>
      </c>
      <c r="D8" s="29" t="inlineStr">
        <is>
          <t>0€ liv.</t>
        </is>
      </c>
      <c r="E8" s="29" t="inlineStr">
        <is>
          <t>Min. 12€</t>
        </is>
      </c>
      <c r="F8" s="29" t="inlineStr">
        <is>
          <t>2026-04-30</t>
        </is>
      </c>
      <c r="G8" s="29" t="inlineStr">
        <is>
          <t>Non</t>
        </is>
      </c>
      <c r="H8" s="46" t="n">
        <v>0</v>
      </c>
      <c r="I8" s="34">
        <f>IF(G8="Oui","✓ Utilisé",IF(F8&lt;TODAY(),"⚠ Expirée","✅ Disponible"))</f>
        <v/>
      </c>
    </row>
    <row r="9">
      <c r="A9" s="26" t="inlineStr">
        <is>
          <t>Wolt</t>
        </is>
      </c>
      <c r="B9" s="26" t="inlineStr">
        <is>
          <t>Remise fixe</t>
        </is>
      </c>
      <c r="C9" s="26" t="inlineStr">
        <is>
          <t>WOLT5</t>
        </is>
      </c>
      <c r="D9" s="26" t="inlineStr">
        <is>
          <t>-5€</t>
        </is>
      </c>
      <c r="E9" s="26" t="inlineStr">
        <is>
          <t>Min. 25€</t>
        </is>
      </c>
      <c r="F9" s="26" t="inlineStr">
        <is>
          <t>2026-05-01</t>
        </is>
      </c>
      <c r="G9" s="26" t="inlineStr">
        <is>
          <t>Non</t>
        </is>
      </c>
      <c r="H9" s="43" t="n">
        <v>0</v>
      </c>
      <c r="I9" s="33">
        <f>IF(G9="Oui","✓ Utilisé",IF(F9&lt;TODAY(),"⚠ Expirée","✅ Disponible"))</f>
        <v/>
      </c>
    </row>
    <row r="10">
      <c r="A10" s="29" t="inlineStr">
        <is>
          <t>Grab</t>
        </is>
      </c>
      <c r="B10" s="29" t="inlineStr">
        <is>
          <t>Happy Hour</t>
        </is>
      </c>
      <c r="C10" s="29" t="inlineStr">
        <is>
          <t>APP</t>
        </is>
      </c>
      <c r="D10" s="29" t="inlineStr">
        <is>
          <t>-25%</t>
        </is>
      </c>
      <c r="E10" s="29" t="inlineStr">
        <is>
          <t>14h-16h</t>
        </is>
      </c>
      <c r="F10" s="29" t="inlineStr">
        <is>
          <t>2026-04-30</t>
        </is>
      </c>
      <c r="G10" s="29" t="inlineStr">
        <is>
          <t>Non</t>
        </is>
      </c>
      <c r="H10" s="46" t="n">
        <v>0</v>
      </c>
      <c r="I10" s="34">
        <f>IF(G10="Oui","✓ Utilisé",IF(F10&lt;TODAY(),"⚠ Expirée","✅ Disponible"))</f>
        <v/>
      </c>
    </row>
    <row r="11">
      <c r="A11" s="26" t="n"/>
      <c r="B11" s="26" t="n"/>
      <c r="C11" s="26" t="n"/>
      <c r="D11" s="26" t="n"/>
      <c r="E11" s="26" t="n"/>
      <c r="F11" s="26" t="n"/>
      <c r="G11" s="26" t="n"/>
      <c r="H11" s="26" t="n"/>
      <c r="I11" s="26">
        <f>IF(G11="Oui","✓ Utilisé",IF(AND(F11&lt;&gt;"",F11&lt;TODAY()),"⚠ Expirée",IF(F11="","","✅ Disponible")))</f>
        <v/>
      </c>
    </row>
    <row r="12">
      <c r="A12" s="29" t="n"/>
      <c r="B12" s="29" t="n"/>
      <c r="C12" s="29" t="n"/>
      <c r="D12" s="29" t="n"/>
      <c r="E12" s="29" t="n"/>
      <c r="F12" s="29" t="n"/>
      <c r="G12" s="29" t="n"/>
      <c r="H12" s="29" t="n"/>
      <c r="I12" s="29">
        <f>IF(G12="Oui","✓ Utilisé",IF(AND(F12&lt;&gt;"",F12&lt;TODAY()),"⚠ Expirée",IF(F12="","","✅ Disponible")))</f>
        <v/>
      </c>
    </row>
    <row r="13">
      <c r="A13" s="26" t="n"/>
      <c r="B13" s="26" t="n"/>
      <c r="C13" s="26" t="n"/>
      <c r="D13" s="26" t="n"/>
      <c r="E13" s="26" t="n"/>
      <c r="F13" s="26" t="n"/>
      <c r="G13" s="26" t="n"/>
      <c r="H13" s="26" t="n"/>
      <c r="I13" s="26">
        <f>IF(G13="Oui","✓ Utilisé",IF(AND(F13&lt;&gt;"",F13&lt;TODAY()),"⚠ Expirée",IF(F13="","","✅ Disponible")))</f>
        <v/>
      </c>
    </row>
    <row r="14">
      <c r="A14" s="29" t="n"/>
      <c r="B14" s="29" t="n"/>
      <c r="C14" s="29" t="n"/>
      <c r="D14" s="29" t="n"/>
      <c r="E14" s="29" t="n"/>
      <c r="F14" s="29" t="n"/>
      <c r="G14" s="29" t="n"/>
      <c r="H14" s="29" t="n"/>
      <c r="I14" s="29">
        <f>IF(G14="Oui","✓ Utilisé",IF(AND(F14&lt;&gt;"",F14&lt;TODAY()),"⚠ Expirée",IF(F14="","","✅ Disponible")))</f>
        <v/>
      </c>
    </row>
    <row r="15">
      <c r="A15" s="26" t="n"/>
      <c r="B15" s="26" t="n"/>
      <c r="C15" s="26" t="n"/>
      <c r="D15" s="26" t="n"/>
      <c r="E15" s="26" t="n"/>
      <c r="F15" s="26" t="n"/>
      <c r="G15" s="26" t="n"/>
      <c r="H15" s="26" t="n"/>
      <c r="I15" s="26">
        <f>IF(G15="Oui","✓ Utilisé",IF(AND(F15&lt;&gt;"",F15&lt;TODAY()),"⚠ Expirée",IF(F15="","","✅ Disponible")))</f>
        <v/>
      </c>
    </row>
    <row r="16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>
        <f>IF(G16="Oui","✓ Utilisé",IF(AND(F16&lt;&gt;"",F16&lt;TODAY()),"⚠ Expirée",IF(F16="","","✅ Disponible")))</f>
        <v/>
      </c>
    </row>
    <row r="17">
      <c r="A17" s="26" t="n"/>
      <c r="B17" s="26" t="n"/>
      <c r="C17" s="26" t="n"/>
      <c r="D17" s="26" t="n"/>
      <c r="E17" s="26" t="n"/>
      <c r="F17" s="26" t="n"/>
      <c r="G17" s="26" t="n"/>
      <c r="H17" s="26" t="n"/>
      <c r="I17" s="26">
        <f>IF(G17="Oui","✓ Utilisé",IF(AND(F17&lt;&gt;"",F17&lt;TODAY()),"⚠ Expirée",IF(F17="","","✅ Disponible")))</f>
        <v/>
      </c>
    </row>
    <row r="18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>
        <f>IF(G18="Oui","✓ Utilisé",IF(AND(F18&lt;&gt;"",F18&lt;TODAY()),"⚠ Expirée",IF(F18="","","✅ Disponible")))</f>
        <v/>
      </c>
    </row>
    <row r="19">
      <c r="A19" s="26" t="n"/>
      <c r="B19" s="26" t="n"/>
      <c r="C19" s="26" t="n"/>
      <c r="D19" s="26" t="n"/>
      <c r="E19" s="26" t="n"/>
      <c r="F19" s="26" t="n"/>
      <c r="G19" s="26" t="n"/>
      <c r="H19" s="26" t="n"/>
      <c r="I19" s="26">
        <f>IF(G19="Oui","✓ Utilisé",IF(AND(F19&lt;&gt;"",F19&lt;TODAY()),"⚠ Expirée",IF(F19="","","✅ Disponible")))</f>
        <v/>
      </c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>
        <f>IF(G20="Oui","✓ Utilisé",IF(AND(F20&lt;&gt;"",F20&lt;TODAY()),"⚠ Expirée",IF(F20="","","✅ Disponible")))</f>
        <v/>
      </c>
    </row>
    <row r="21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>
        <f>IF(G21="Oui","✓ Utilisé",IF(AND(F21&lt;&gt;"",F21&lt;TODAY()),"⚠ Expirée",IF(F21="","","✅ Disponible")))</f>
        <v/>
      </c>
    </row>
    <row r="22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>
        <f>IF(G22="Oui","✓ Utilisé",IF(AND(F22&lt;&gt;"",F22&lt;TODAY()),"⚠ Expirée",IF(F22="","","✅ Disponible")))</f>
        <v/>
      </c>
    </row>
    <row r="23">
      <c r="A23" s="26" t="n"/>
      <c r="B23" s="26" t="n"/>
      <c r="C23" s="26" t="n"/>
      <c r="D23" s="26" t="n"/>
      <c r="E23" s="26" t="n"/>
      <c r="F23" s="26" t="n"/>
      <c r="G23" s="26" t="n"/>
      <c r="H23" s="26" t="n"/>
      <c r="I23" s="26">
        <f>IF(G23="Oui","✓ Utilisé",IF(AND(F23&lt;&gt;"",F23&lt;TODAY()),"⚠ Expirée",IF(F23="","","✅ Disponible")))</f>
        <v/>
      </c>
    </row>
    <row r="24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>
        <f>IF(G24="Oui","✓ Utilisé",IF(AND(F24&lt;&gt;"",F24&lt;TODAY()),"⚠ Expirée",IF(F24="","","✅ Disponible")))</f>
        <v/>
      </c>
    </row>
    <row r="25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>
        <f>IF(G25="Oui","✓ Utilisé",IF(AND(F25&lt;&gt;"",F25&lt;TODAY()),"⚠ Expirée",IF(F25="","","✅ Disponible")))</f>
        <v/>
      </c>
    </row>
    <row r="26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>
        <f>IF(G26="Oui","✓ Utilisé",IF(AND(F26&lt;&gt;"",F26&lt;TODAY()),"⚠ Expirée",IF(F26="","","✅ Disponible")))</f>
        <v/>
      </c>
    </row>
    <row r="27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>
        <f>IF(G27="Oui","✓ Utilisé",IF(AND(F27&lt;&gt;"",F27&lt;TODAY()),"⚠ Expirée",IF(F27="","","✅ Disponible")))</f>
        <v/>
      </c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>
        <f>IF(G28="Oui","✓ Utilisé",IF(AND(F28&lt;&gt;"",F28&lt;TODAY()),"⚠ Expirée",IF(F28="","","✅ Disponible")))</f>
        <v/>
      </c>
    </row>
    <row r="29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>
        <f>IF(G29="Oui","✓ Utilisé",IF(AND(F29&lt;&gt;"",F29&lt;TODAY()),"⚠ Expirée",IF(F29="","","✅ Disponible")))</f>
        <v/>
      </c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>
        <f>IF(G30="Oui","✓ Utilisé",IF(AND(F30&lt;&gt;"",F30&lt;TODAY()),"⚠ Expirée",IF(F30="","","✅ Disponible")))</f>
        <v/>
      </c>
    </row>
    <row r="31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>
        <f>IF(G31="Oui","✓ Utilisé",IF(AND(F31&lt;&gt;"",F31&lt;TODAY()),"⚠ Expirée",IF(F31="","","✅ Disponible")))</f>
        <v/>
      </c>
    </row>
    <row r="3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>
        <f>IF(G32="Oui","✓ Utilisé",IF(AND(F32&lt;&gt;"",F32&lt;TODAY()),"⚠ Expirée",IF(F32="","","✅ Disponible")))</f>
        <v/>
      </c>
    </row>
    <row r="33">
      <c r="A33" s="26" t="n"/>
      <c r="B33" s="26" t="n"/>
      <c r="C33" s="26" t="n"/>
      <c r="D33" s="26" t="n"/>
      <c r="E33" s="26" t="n"/>
      <c r="F33" s="26" t="n"/>
      <c r="G33" s="26" t="n"/>
      <c r="H33" s="26" t="n"/>
      <c r="I33" s="26">
        <f>IF(G33="Oui","✓ Utilisé",IF(AND(F33&lt;&gt;"",F33&lt;TODAY()),"⚠ Expirée",IF(F33="","","✅ Disponible")))</f>
        <v/>
      </c>
    </row>
    <row r="34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>
        <f>IF(G34="Oui","✓ Utilisé",IF(AND(F34&lt;&gt;"",F34&lt;TODAY()),"⚠ Expirée",IF(F34="","","✅ Disponible")))</f>
        <v/>
      </c>
    </row>
    <row r="35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>
        <f>IF(G35="Oui","✓ Utilisé",IF(AND(F35&lt;&gt;"",F35&lt;TODAY()),"⚠ Expirée",IF(F35="","","✅ Disponible")))</f>
        <v/>
      </c>
    </row>
    <row r="36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>
        <f>IF(G36="Oui","✓ Utilisé",IF(AND(F36&lt;&gt;"",F36&lt;TODAY()),"⚠ Expirée",IF(F36="","","✅ Disponible")))</f>
        <v/>
      </c>
    </row>
    <row r="37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>
        <f>IF(G37="Oui","✓ Utilisé",IF(AND(F37&lt;&gt;"",F37&lt;TODAY()),"⚠ Expirée",IF(F37="","","✅ Disponible")))</f>
        <v/>
      </c>
    </row>
    <row r="38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>
        <f>IF(G38="Oui","✓ Utilisé",IF(AND(F38&lt;&gt;"",F38&lt;TODAY()),"⚠ Expirée",IF(F38="","","✅ Disponible")))</f>
        <v/>
      </c>
    </row>
    <row r="39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>
        <f>IF(G39="Oui","✓ Utilisé",IF(AND(F39&lt;&gt;"",F39&lt;TODAY()),"⚠ Expirée",IF(F39="","","✅ Disponible")))</f>
        <v/>
      </c>
    </row>
    <row r="40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>
        <f>IF(G40="Oui","✓ Utilisé",IF(AND(F40&lt;&gt;"",F40&lt;TODAY()),"⚠ Expirée",IF(F40="","","✅ Disponible")))</f>
        <v/>
      </c>
    </row>
  </sheetData>
  <mergeCells count="1">
    <mergeCell ref="A1:I1"/>
  </mergeCells>
  <conditionalFormatting sqref="G3:G40">
    <cfRule type="expression" priority="1" dxfId="2">
      <formula>G3="Oui"</formula>
    </cfRule>
    <cfRule type="expression" priority="2" dxfId="3">
      <formula>G3="Non"</formula>
    </cfRule>
  </conditionalFormatting>
  <conditionalFormatting sqref="F3:F40">
    <cfRule type="expression" priority="3" dxfId="4">
      <formula>AND(F3&lt;&gt;"",F3-TODAY()&lt;=3,F3&gt;=TODAY())</formula>
    </cfRule>
    <cfRule type="expression" priority="4" dxfId="5">
      <formula>AND(F3&lt;&gt;"",F3&lt;TODAY())</formula>
    </cfRule>
  </conditionalFormatting>
  <dataValidations count="1">
    <dataValidation sqref="G3:G40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2026-04-13T04:16:54Z</dcterms:created>
  <dcterms:modified xsi:type="dcterms:W3CDTF">2026-04-13T04:25:23Z</dcterms:modified>
</cp:coreProperties>
</file>